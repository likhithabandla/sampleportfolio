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autoCompressPictures="0"/>
  <mc:AlternateContent xmlns:mc="http://schemas.openxmlformats.org/markup-compatibility/2006">
    <mc:Choice Requires="x15">
      <x15ac:absPath xmlns:x15ac="http://schemas.microsoft.com/office/spreadsheetml/2010/11/ac" url="C:\Users\Sandhya\Desktop\Work Portolio\"/>
    </mc:Choice>
  </mc:AlternateContent>
  <xr:revisionPtr revIDLastSave="0" documentId="13_ncr:1_{E3C33796-6B97-4CA7-AD30-3EE05E1D4F2E}" xr6:coauthVersionLast="47" xr6:coauthVersionMax="47" xr10:uidLastSave="{00000000-0000-0000-0000-000000000000}"/>
  <bookViews>
    <workbookView xWindow="-110" yWindow="-110" windowWidth="19420" windowHeight="11500" tabRatio="709" xr2:uid="{00000000-000D-0000-FFFF-FFFF00000000}"/>
  </bookViews>
  <sheets>
    <sheet name="Dashboard" sheetId="14" r:id="rId1"/>
    <sheet name="Audience Counts" sheetId="12" r:id="rId2"/>
    <sheet name="Headline Pivots" sheetId="16" r:id="rId3"/>
    <sheet name="Bank Pivots" sheetId="17" r:id="rId4"/>
    <sheet name="SparklinePivot" sheetId="18" r:id="rId5"/>
    <sheet name="Pivot" sheetId="19" r:id="rId6"/>
  </sheets>
  <definedNames>
    <definedName name="NativeTimeline_Date">#N/A</definedName>
    <definedName name="Slicer_Bank1">#N/A</definedName>
    <definedName name="Slicer_Date">#N/A</definedName>
    <definedName name="Slicer_Platform">#N/A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1" i="16" l="1"/>
  <c r="C2" i="16" s="1"/>
  <c r="B1" i="16"/>
  <c r="B2" i="16" s="1"/>
  <c r="J4" i="17"/>
  <c r="B29" i="14"/>
  <c r="J13" i="17"/>
  <c r="C21" i="14"/>
  <c r="E1" i="16" l="1"/>
  <c r="A2" i="14" s="1"/>
  <c r="J5" i="17" l="1"/>
  <c r="J6" i="17"/>
  <c r="J7" i="17"/>
  <c r="J8" i="17"/>
  <c r="J9" i="17"/>
  <c r="J10" i="17"/>
  <c r="J11" i="17"/>
  <c r="J12" i="17"/>
  <c r="B22" i="14"/>
  <c r="B23" i="14"/>
  <c r="B24" i="14"/>
  <c r="B25" i="14"/>
  <c r="B26" i="14"/>
  <c r="B27" i="14"/>
  <c r="B28" i="14"/>
  <c r="B21" i="14"/>
  <c r="C25" i="14"/>
  <c r="C23" i="14"/>
  <c r="C26" i="14"/>
  <c r="C22" i="14"/>
  <c r="C28" i="14"/>
  <c r="C29" i="14"/>
  <c r="C27" i="14"/>
  <c r="C24" i="14"/>
  <c r="D23" i="14" l="1"/>
  <c r="D22" i="14"/>
  <c r="D21" i="14"/>
  <c r="D24" i="14"/>
  <c r="D26" i="14"/>
  <c r="D27" i="14"/>
  <c r="D28" i="14"/>
  <c r="D29" i="14"/>
  <c r="D25" i="14"/>
</calcChain>
</file>

<file path=xl/sharedStrings.xml><?xml version="1.0" encoding="utf-8"?>
<sst xmlns="http://schemas.openxmlformats.org/spreadsheetml/2006/main" count="3655" uniqueCount="110">
  <si>
    <t>Bank</t>
  </si>
  <si>
    <t>Facebook</t>
  </si>
  <si>
    <t>Bank of America</t>
  </si>
  <si>
    <t>Capital One</t>
  </si>
  <si>
    <t>Capital One Café</t>
  </si>
  <si>
    <t>Capital One Careers</t>
  </si>
  <si>
    <t>CapitalOne Business</t>
  </si>
  <si>
    <t>Chase</t>
  </si>
  <si>
    <t>JPMorgan Chase &amp; Co.</t>
  </si>
  <si>
    <t>United MileagePlus Cards by Chase</t>
  </si>
  <si>
    <t>Citi</t>
  </si>
  <si>
    <t>Citibank US</t>
  </si>
  <si>
    <t>Citi Careers</t>
  </si>
  <si>
    <t>Wells Fargo</t>
  </si>
  <si>
    <t>Wells Fargo Advisor</t>
  </si>
  <si>
    <t>Wells Fargo Home Mortgage</t>
  </si>
  <si>
    <t>PNC</t>
  </si>
  <si>
    <t>SunTrust</t>
  </si>
  <si>
    <t>US Bank</t>
  </si>
  <si>
    <t>U.S. Bank</t>
  </si>
  <si>
    <t>LinkedIn</t>
  </si>
  <si>
    <t>Bank of America Merrill Lynch</t>
  </si>
  <si>
    <t xml:space="preserve">Bank of America Business </t>
  </si>
  <si>
    <t>Merrill Lynch</t>
  </si>
  <si>
    <t xml:space="preserve">Merrill Edge </t>
  </si>
  <si>
    <t>Capital One Business</t>
  </si>
  <si>
    <t xml:space="preserve">Chase for Business </t>
  </si>
  <si>
    <t>Citigold</t>
  </si>
  <si>
    <t xml:space="preserve">Wells Fargo Asset Management </t>
  </si>
  <si>
    <t xml:space="preserve">PNC Business Banking </t>
  </si>
  <si>
    <t>PNC Investments</t>
  </si>
  <si>
    <t>PNC Ideas for your Company</t>
  </si>
  <si>
    <t>PNC Institutional Asset Management</t>
  </si>
  <si>
    <t xml:space="preserve">PNC Wealth Management </t>
  </si>
  <si>
    <t>SunTrust Robinson Humphrey</t>
  </si>
  <si>
    <t>SunTrust Investment Services, Inc.</t>
  </si>
  <si>
    <t>Sun Trust Small Businesses</t>
  </si>
  <si>
    <t>Sun Trust Commercial Real Estate</t>
  </si>
  <si>
    <t>U.S. Bancorp Investments, Inc.</t>
  </si>
  <si>
    <t>U.S. Bank Corporate payment Sytems</t>
  </si>
  <si>
    <t xml:space="preserve">U.S. Bank investment Services </t>
  </si>
  <si>
    <t xml:space="preserve">U.S. Bank Corporate and Commercial Banking </t>
  </si>
  <si>
    <t>Twitter</t>
  </si>
  <si>
    <t>Bank of America News</t>
  </si>
  <si>
    <t>Bank of America Business Insights</t>
  </si>
  <si>
    <t>Bank of America Tips</t>
  </si>
  <si>
    <t>Ask Capital One</t>
  </si>
  <si>
    <t>Capital One Tech</t>
  </si>
  <si>
    <t>Capital One Stories</t>
  </si>
  <si>
    <t>CapitalOneBiz</t>
  </si>
  <si>
    <t>Chase for business</t>
  </si>
  <si>
    <t xml:space="preserve">Chase Support </t>
  </si>
  <si>
    <t>Ask Citi</t>
  </si>
  <si>
    <t>Citibank</t>
  </si>
  <si>
    <t>Ask Wells Fargo</t>
  </si>
  <si>
    <t>Wells Fargo Careers</t>
  </si>
  <si>
    <t>Wells Fargo Wealth &amp; Investment Management</t>
  </si>
  <si>
    <t>Wells Fargo AssetMgt</t>
  </si>
  <si>
    <t>PNC Bank</t>
  </si>
  <si>
    <t>PNC Bank Help</t>
  </si>
  <si>
    <t>PNC News</t>
  </si>
  <si>
    <t>Ask SunTrust</t>
  </si>
  <si>
    <t>Ask US Bank</t>
  </si>
  <si>
    <t> us bank payments</t>
  </si>
  <si>
    <t>bankofamerica</t>
  </si>
  <si>
    <t>capitalone</t>
  </si>
  <si>
    <t>capitalonecareers</t>
  </si>
  <si>
    <t xml:space="preserve">capitalonecafe </t>
  </si>
  <si>
    <t>capitalonebusiness</t>
  </si>
  <si>
    <t>chase</t>
  </si>
  <si>
    <t>Wellsfargo</t>
  </si>
  <si>
    <t>suntrust</t>
  </si>
  <si>
    <t>usbank</t>
  </si>
  <si>
    <t xml:space="preserve">U.S . Bank Global Fund Services - Europe </t>
  </si>
  <si>
    <t>Followers</t>
  </si>
  <si>
    <t>NA</t>
  </si>
  <si>
    <t>Platform</t>
  </si>
  <si>
    <t>Account</t>
  </si>
  <si>
    <t>Date</t>
  </si>
  <si>
    <t>Instagram</t>
  </si>
  <si>
    <t>Bank of America Private Bank</t>
  </si>
  <si>
    <t>Wells Fargo Advisors</t>
  </si>
  <si>
    <t>Citi Private Bank</t>
  </si>
  <si>
    <t>Bank of America Help</t>
  </si>
  <si>
    <t>121,250 </t>
  </si>
  <si>
    <t xml:space="preserve">
192,329</t>
  </si>
  <si>
    <t>Truist</t>
  </si>
  <si>
    <t>2,085,093 </t>
  </si>
  <si>
    <t>Sun Trust Small Business</t>
  </si>
  <si>
    <t>TruistNews</t>
  </si>
  <si>
    <t>Row Labels</t>
  </si>
  <si>
    <t>Grand Total</t>
  </si>
  <si>
    <t>Truist Securities</t>
  </si>
  <si>
    <t>Truist Commercial, Corporate &amp; Institutional</t>
  </si>
  <si>
    <t>Truist Wealth</t>
  </si>
  <si>
    <t>Truist Insurance Holdings,Inc</t>
  </si>
  <si>
    <t>Sum of Followers</t>
  </si>
  <si>
    <t xml:space="preserve">SunTrust </t>
  </si>
  <si>
    <t>US</t>
  </si>
  <si>
    <t>India</t>
  </si>
  <si>
    <t>Australia</t>
  </si>
  <si>
    <t>UK</t>
  </si>
  <si>
    <t>Russia</t>
  </si>
  <si>
    <t>Column Labels</t>
  </si>
  <si>
    <t>(All)</t>
  </si>
  <si>
    <t>Linkedin</t>
  </si>
  <si>
    <t>Number of Followers by Bank</t>
  </si>
  <si>
    <t>Total Number of Followers</t>
  </si>
  <si>
    <t>Trend</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</si>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</sst>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_(* \(#,##0.00\);_(* &quot;-&quot;??_);_(@_)"/>
    <numFmt numFmtId="165" formatCode="_(* #,##0_);_(* \(#,##0\);_(* &quot;-&quot;??_);_(@_)"/>
    <numFmt numFmtId="166" formatCode="mmm"/>
    <numFmt numFmtId="167" formatCode="0.0%"/>
  </numFmts>
  <fonts count="21">
    <font>
      <sz val="10"/>
      <name val="Arial"/>
    </font>
    <font>
      <u/>
      <sz val="10"/>
      <color theme="10"/>
      <name val="Arial"/>
      <family val="2"/>
    </font>
    <font>
      <u/>
      <sz val="10"/>
      <color theme="11"/>
      <name val="Arial"/>
      <family val="2"/>
    </font>
    <font>
      <sz val="10"/>
      <name val="Calibri"/>
      <family val="2"/>
    </font>
    <font>
      <b/>
      <sz val="10"/>
      <name val="Calibri"/>
      <family val="2"/>
    </font>
    <font>
      <b/>
      <sz val="10"/>
      <name val="Arial"/>
      <family val="2"/>
    </font>
    <font>
      <b/>
      <sz val="8"/>
      <color rgb="FF0F1419"/>
      <name val="Segoe UI"/>
      <family val="2"/>
    </font>
    <font>
      <sz val="8"/>
      <color rgb="FF050505"/>
      <name val="Segoe UI Historic"/>
      <family val="2"/>
    </font>
    <font>
      <sz val="10"/>
      <name val="Arial"/>
      <family val="2"/>
    </font>
    <font>
      <sz val="10"/>
      <color theme="0"/>
      <name val="Arial"/>
      <family val="2"/>
    </font>
    <font>
      <sz val="10"/>
      <name val="Playbill"/>
      <family val="5"/>
    </font>
    <font>
      <sz val="10"/>
      <color theme="8" tint="-0.249977111117893"/>
      <name val="Playbill"/>
      <family val="5"/>
    </font>
    <font>
      <sz val="10"/>
      <name val="Wilding"/>
    </font>
    <font>
      <sz val="10"/>
      <color theme="6" tint="-0.249977111117893"/>
      <name val="Calibri"/>
      <family val="2"/>
    </font>
    <font>
      <sz val="20"/>
      <color theme="0"/>
      <name val="Arial"/>
      <family val="2"/>
    </font>
    <font>
      <b/>
      <sz val="11"/>
      <name val="Arial"/>
      <family val="2"/>
    </font>
    <font>
      <sz val="11"/>
      <name val="Arial"/>
      <family val="2"/>
    </font>
    <font>
      <sz val="22"/>
      <color theme="0"/>
      <name val="Arial"/>
      <family val="2"/>
    </font>
    <font>
      <b/>
      <sz val="12"/>
      <name val="Arial"/>
      <family val="2"/>
    </font>
    <font>
      <b/>
      <sz val="20"/>
      <color theme="0"/>
      <name val="Arial"/>
      <family val="2"/>
    </font>
    <font>
      <sz val="10"/>
      <color theme="5" tint="-0.249977111117893"/>
      <name val="Playbill"/>
      <family val="5"/>
    </font>
  </fonts>
  <fills count="7">
    <fill>
      <patternFill patternType="none"/>
    </fill>
    <fill>
      <patternFill patternType="gray125"/>
    </fill>
    <fill>
      <patternFill patternType="solid">
        <fgColor theme="0" tint="-0.14999847407452621"/>
        <bgColor indexed="64"/>
      </patternFill>
    </fill>
    <fill>
      <patternFill patternType="solid">
        <fgColor theme="6" tint="0.79998168889431442"/>
        <bgColor theme="6" tint="0.79998168889431442"/>
      </patternFill>
    </fill>
    <fill>
      <patternFill patternType="solid">
        <fgColor theme="0" tint="-4.9989318521683403E-2"/>
        <bgColor indexed="64"/>
      </patternFill>
    </fill>
    <fill>
      <patternFill patternType="solid">
        <fgColor theme="8" tint="-0.499984740745262"/>
        <bgColor indexed="64"/>
      </patternFill>
    </fill>
    <fill>
      <patternFill patternType="solid">
        <fgColor theme="8" tint="0.79998168889431442"/>
        <bgColor indexed="64"/>
      </patternFill>
    </fill>
  </fills>
  <borders count="2">
    <border>
      <left/>
      <right/>
      <top/>
      <bottom/>
      <diagonal/>
    </border>
    <border>
      <left/>
      <right/>
      <top/>
      <bottom style="thin">
        <color theme="6"/>
      </bottom>
      <diagonal/>
    </border>
  </borders>
  <cellStyleXfs count="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164" fontId="8" fillId="0" borderId="0" applyFont="0" applyFill="0" applyBorder="0" applyAlignment="0" applyProtection="0"/>
    <xf numFmtId="0" fontId="1" fillId="0" borderId="0" applyNumberFormat="0" applyFill="0" applyBorder="0" applyAlignment="0" applyProtection="0"/>
  </cellStyleXfs>
  <cellXfs count="52">
    <xf numFmtId="0" fontId="0" fillId="0" borderId="0" xfId="0"/>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xf>
    <xf numFmtId="17" fontId="3" fillId="0" borderId="0" xfId="0" applyNumberFormat="1" applyFont="1" applyAlignment="1">
      <alignment horizontal="center"/>
    </xf>
    <xf numFmtId="14" fontId="3" fillId="0" borderId="0" xfId="0" applyNumberFormat="1" applyFont="1" applyAlignment="1">
      <alignment horizontal="center"/>
    </xf>
    <xf numFmtId="3" fontId="6" fillId="0" borderId="0" xfId="0" applyNumberFormat="1" applyFont="1"/>
    <xf numFmtId="3" fontId="7" fillId="0" borderId="0" xfId="0" applyNumberFormat="1" applyFont="1" applyAlignment="1">
      <alignment horizontal="center" vertical="center"/>
    </xf>
    <xf numFmtId="0" fontId="0" fillId="0" borderId="0" xfId="0" pivotButton="1"/>
    <xf numFmtId="17" fontId="0" fillId="0" borderId="0" xfId="0" applyNumberFormat="1" applyAlignment="1">
      <alignment horizontal="left"/>
    </xf>
    <xf numFmtId="165" fontId="0" fillId="0" borderId="0" xfId="0" applyNumberFormat="1"/>
    <xf numFmtId="37" fontId="0" fillId="0" borderId="0" xfId="0" applyNumberFormat="1"/>
    <xf numFmtId="0" fontId="0" fillId="0" borderId="0" xfId="0" applyAlignment="1">
      <alignment horizontal="left"/>
    </xf>
    <xf numFmtId="166" fontId="0" fillId="0" borderId="0" xfId="0" applyNumberFormat="1" applyAlignment="1">
      <alignment horizontal="left"/>
    </xf>
    <xf numFmtId="0" fontId="8" fillId="0" borderId="0" xfId="0" applyFont="1"/>
    <xf numFmtId="167" fontId="9" fillId="0" borderId="0" xfId="0" applyNumberFormat="1" applyFont="1"/>
    <xf numFmtId="0" fontId="10" fillId="0" borderId="0" xfId="0" applyFont="1"/>
    <xf numFmtId="0" fontId="11" fillId="0" borderId="0" xfId="0" applyFont="1"/>
    <xf numFmtId="0" fontId="12" fillId="0" borderId="0" xfId="0" applyFont="1"/>
    <xf numFmtId="17" fontId="0" fillId="0" borderId="0" xfId="0" applyNumberFormat="1"/>
    <xf numFmtId="0" fontId="0" fillId="2" borderId="0" xfId="0" applyFill="1"/>
    <xf numFmtId="10" fontId="0" fillId="0" borderId="0" xfId="0" applyNumberFormat="1"/>
    <xf numFmtId="9" fontId="0" fillId="0" borderId="0" xfId="0" applyNumberFormat="1"/>
    <xf numFmtId="0" fontId="5" fillId="2" borderId="0" xfId="0" applyFont="1" applyFill="1"/>
    <xf numFmtId="0" fontId="13" fillId="0" borderId="0" xfId="0" applyFont="1" applyAlignment="1">
      <alignment horizontal="center"/>
    </xf>
    <xf numFmtId="17" fontId="13" fillId="0" borderId="0" xfId="0" applyNumberFormat="1" applyFont="1" applyAlignment="1">
      <alignment horizontal="center"/>
    </xf>
    <xf numFmtId="0" fontId="13" fillId="3" borderId="0" xfId="0" applyFont="1" applyFill="1" applyAlignment="1">
      <alignment horizontal="center"/>
    </xf>
    <xf numFmtId="17" fontId="13" fillId="3" borderId="0" xfId="0" applyNumberFormat="1" applyFont="1" applyFill="1" applyAlignment="1">
      <alignment horizontal="center"/>
    </xf>
    <xf numFmtId="3" fontId="7" fillId="3" borderId="0" xfId="0" applyNumberFormat="1" applyFont="1" applyFill="1" applyAlignment="1">
      <alignment horizontal="center" vertical="center"/>
    </xf>
    <xf numFmtId="0" fontId="13" fillId="0" borderId="1" xfId="0" applyFont="1" applyBorder="1" applyAlignment="1">
      <alignment horizontal="center"/>
    </xf>
    <xf numFmtId="17" fontId="13" fillId="0" borderId="1" xfId="0" applyNumberFormat="1" applyFont="1" applyBorder="1" applyAlignment="1">
      <alignment horizontal="center"/>
    </xf>
    <xf numFmtId="3" fontId="7" fillId="0" borderId="1" xfId="0" applyNumberFormat="1" applyFont="1" applyBorder="1" applyAlignment="1">
      <alignment horizontal="center" vertical="center"/>
    </xf>
    <xf numFmtId="0" fontId="0" fillId="4" borderId="0" xfId="0" applyFill="1"/>
    <xf numFmtId="0" fontId="14" fillId="5" borderId="0" xfId="0" applyFont="1" applyFill="1"/>
    <xf numFmtId="0" fontId="15" fillId="6" borderId="0" xfId="0" applyFont="1" applyFill="1"/>
    <xf numFmtId="0" fontId="16" fillId="6" borderId="0" xfId="0" applyFont="1" applyFill="1"/>
    <xf numFmtId="0" fontId="0" fillId="6" borderId="0" xfId="0" applyFill="1"/>
    <xf numFmtId="165" fontId="5" fillId="2" borderId="0" xfId="5" applyNumberFormat="1" applyFont="1" applyFill="1"/>
    <xf numFmtId="0" fontId="11" fillId="2" borderId="0" xfId="0" applyFont="1" applyFill="1"/>
    <xf numFmtId="0" fontId="17" fillId="5" borderId="0" xfId="0" applyFont="1" applyFill="1"/>
    <xf numFmtId="0" fontId="18" fillId="6" borderId="0" xfId="0" applyFont="1" applyFill="1" applyAlignment="1">
      <alignment horizontal="left" vertical="top"/>
    </xf>
    <xf numFmtId="0" fontId="0" fillId="0" borderId="0" xfId="0" applyAlignment="1">
      <alignment horizontal="left" indent="1"/>
    </xf>
    <xf numFmtId="3" fontId="7" fillId="0" borderId="0" xfId="0" applyNumberFormat="1" applyFont="1" applyAlignment="1">
      <alignment horizontal="center" vertical="center" wrapText="1"/>
    </xf>
    <xf numFmtId="0" fontId="16" fillId="4" borderId="0" xfId="0" applyFont="1" applyFill="1"/>
    <xf numFmtId="166" fontId="0" fillId="0" borderId="0" xfId="0" applyNumberFormat="1"/>
    <xf numFmtId="166" fontId="14" fillId="5" borderId="0" xfId="0" applyNumberFormat="1" applyFont="1" applyFill="1"/>
    <xf numFmtId="0" fontId="19" fillId="5" borderId="0" xfId="0" applyFont="1" applyFill="1"/>
    <xf numFmtId="3" fontId="7" fillId="0" borderId="0" xfId="6" applyNumberFormat="1" applyFont="1" applyAlignment="1">
      <alignment horizontal="center" vertical="center"/>
    </xf>
    <xf numFmtId="3" fontId="7" fillId="0" borderId="0" xfId="5" applyNumberFormat="1" applyFont="1" applyAlignment="1">
      <alignment horizontal="center" vertical="center"/>
    </xf>
    <xf numFmtId="3" fontId="3" fillId="0" borderId="0" xfId="0" applyNumberFormat="1" applyFont="1" applyAlignment="1">
      <alignment horizontal="center" vertical="center"/>
    </xf>
    <xf numFmtId="0" fontId="20" fillId="0" borderId="0" xfId="0" applyFont="1"/>
  </cellXfs>
  <cellStyles count="7">
    <cellStyle name="Comma" xfId="5" builtinId="3"/>
    <cellStyle name="Followed Hyperlink" xfId="2" builtinId="9" hidden="1"/>
    <cellStyle name="Followed Hyperlink" xfId="4" builtinId="9" hidden="1"/>
    <cellStyle name="Hyperlink" xfId="1" builtinId="8" hidden="1"/>
    <cellStyle name="Hyperlink" xfId="3" builtinId="8" hidden="1"/>
    <cellStyle name="Hyperlink" xfId="6" builtinId="8"/>
    <cellStyle name="Normal" xfId="0" builtinId="0"/>
  </cellStyles>
  <dxfs count="27">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8" formatCode="#,##0_);\(#,##0\)"/>
    </dxf>
    <dxf>
      <numFmt numFmtId="165" formatCode="_(* #,##0_);_(* \(#,##0\);_(* &quot;-&quot;??_);_(@_)"/>
    </dxf>
    <dxf>
      <numFmt numFmtId="168" formatCode="#,##0_);\(#,##0\)"/>
    </dxf>
    <dxf>
      <numFmt numFmtId="165" formatCode="_(* #,##0_);_(* \(#,##0\);_(* &quot;-&quot;??_);_(@_)"/>
    </dxf>
    <dxf>
      <numFmt numFmtId="168" formatCode="#,##0_);\(#,##0\)"/>
    </dxf>
    <dxf>
      <numFmt numFmtId="13" formatCode="0%"/>
    </dxf>
    <dxf>
      <numFmt numFmtId="165" formatCode="_(* #,##0_);_(* \(#,##0\);_(* &quot;-&quot;??_);_(@_)"/>
    </dxf>
    <dxf>
      <numFmt numFmtId="166" formatCode="mmm"/>
    </dxf>
    <dxf>
      <numFmt numFmtId="168" formatCode="#,##0_);\(#,##0\)"/>
    </dxf>
    <dxf>
      <numFmt numFmtId="165" formatCode="_(* #,##0_);_(* \(#,##0\);_(* &quot;-&quot;??_);_(@_)"/>
    </dxf>
    <dxf>
      <numFmt numFmtId="13" formatCode="0%"/>
    </dxf>
    <dxf>
      <numFmt numFmtId="14" formatCode="0.00%"/>
    </dxf>
    <dxf>
      <numFmt numFmtId="165" formatCode="_(* #,##0_);_(* \(#,##0\);_(* &quot;-&quot;??_);_(@_)"/>
    </dxf>
    <dxf>
      <numFmt numFmtId="166" formatCode="mmm"/>
    </dxf>
    <dxf>
      <numFmt numFmtId="168" formatCode="#,##0_);\(#,##0\)"/>
    </dxf>
    <dxf>
      <numFmt numFmtId="165" formatCode="_(* #,##0_);_(* \(#,##0\);_(* &quot;-&quot;??_);_(@_)"/>
    </dxf>
    <dxf>
      <font>
        <b val="0"/>
        <i val="0"/>
        <strike val="0"/>
        <condense val="0"/>
        <extend val="0"/>
        <outline val="0"/>
        <shadow val="0"/>
        <u val="none"/>
        <vertAlign val="baseline"/>
        <sz val="8"/>
        <color rgb="FF050505"/>
        <name val="Segoe UI Historic"/>
        <family val="2"/>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169" formatCode="mmm\-yy"/>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center" vertical="bottom" textRotation="0" wrapText="0" indent="0" justifyLastLine="0" shrinkToFit="0" readingOrder="0"/>
    </dxf>
  </dxfs>
  <tableStyles count="1" defaultTableStyle="TableStyleMedium9" defaultPivotStyle="PivotStyleLight16">
    <tableStyle name="Invisible" pivot="0" table="0" count="0" xr9:uid="{A0645DC9-DE7E-4E6B-B045-F9A06FD82368}"/>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3878A4"/>
      <rgbColor rgb="0099CCFF"/>
      <rgbColor rgb="00514E86"/>
      <rgbColor rgb="00FFB601"/>
      <rgbColor rgb="00B2B2B2"/>
      <rgbColor rgb="00223E7C"/>
      <rgbColor rgb="00BBE0E3"/>
      <rgbColor rgb="003B7DAA"/>
      <rgbColor rgb="00FF0000"/>
      <rgbColor rgb="00FFFF00"/>
      <rgbColor rgb="0066FF66"/>
      <rgbColor rgb="00C8DAE6"/>
      <rgbColor rgb="000000FF"/>
      <rgbColor rgb="00FF00FF"/>
      <rgbColor rgb="00FFD56D"/>
      <rgbColor rgb="00DDDDDD"/>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06025"/>
      <color rgb="FFCCFF33"/>
      <color rgb="FFC04F1D"/>
      <color rgb="FFFFFF66"/>
      <color rgb="FFFF99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Collection - Jan to Dec-2022.xlsx]Bank Pivots!PivotTable1</c:name>
    <c:fmtId val="5"/>
  </c:pivotSource>
  <c:chart>
    <c:title>
      <c:tx>
        <c:rich>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r>
              <a:rPr lang="en-US" sz="1050" b="1">
                <a:solidFill>
                  <a:schemeClr val="tx1"/>
                </a:solidFill>
              </a:rPr>
              <a:t>Number of Followers</a:t>
            </a:r>
            <a:r>
              <a:rPr lang="en-US" sz="1050" b="1" baseline="0">
                <a:solidFill>
                  <a:schemeClr val="tx1"/>
                </a:solidFill>
              </a:rPr>
              <a:t> by Social Media</a:t>
            </a:r>
            <a:endParaRPr lang="en-US" sz="1050" b="1">
              <a:solidFill>
                <a:schemeClr val="tx1"/>
              </a:solidFill>
            </a:endParaRPr>
          </a:p>
        </c:rich>
      </c:tx>
      <c:layout>
        <c:manualLayout>
          <c:xMode val="edge"/>
          <c:yMode val="edge"/>
          <c:x val="5.2629897870369842E-3"/>
          <c:y val="7.0422222813694962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5"/>
            </a:solidFill>
            <a:ln w="9525">
              <a:solidFill>
                <a:schemeClr val="accent5"/>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lumMod val="60000"/>
              </a:schemeClr>
            </a:solidFill>
            <a:ln w="9525">
              <a:solidFill>
                <a:schemeClr val="accent1">
                  <a:lumMod val="60000"/>
                </a:schemeClr>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lumMod val="60000"/>
              </a:schemeClr>
            </a:solidFill>
            <a:round/>
          </a:ln>
          <a:effectLst/>
        </c:spPr>
        <c:marker>
          <c:spPr>
            <a:solidFill>
              <a:schemeClr val="accent1">
                <a:lumMod val="60000"/>
              </a:schemeClr>
            </a:solidFill>
            <a:ln w="9525">
              <a:solidFill>
                <a:schemeClr val="accent1">
                  <a:lumMod val="60000"/>
                </a:schemeClr>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5"/>
            </a:solidFill>
            <a:round/>
          </a:ln>
          <a:effectLst/>
        </c:spPr>
        <c:marker>
          <c:spPr>
            <a:solidFill>
              <a:schemeClr val="accent5"/>
            </a:solidFill>
            <a:ln w="9525">
              <a:solidFill>
                <a:schemeClr val="accent5"/>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5"/>
            </a:solidFill>
            <a:ln w="9525">
              <a:solidFill>
                <a:schemeClr val="accent5"/>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5"/>
            </a:solidFill>
            <a:round/>
          </a:ln>
          <a:effectLst/>
        </c:spPr>
        <c:marker>
          <c:spPr>
            <a:solidFill>
              <a:schemeClr val="accent5"/>
            </a:solidFill>
            <a:ln w="9525">
              <a:solidFill>
                <a:schemeClr val="accent5"/>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lumMod val="60000"/>
              </a:schemeClr>
            </a:solidFill>
            <a:ln w="9525">
              <a:solidFill>
                <a:schemeClr val="accent1">
                  <a:lumMod val="60000"/>
                </a:schemeClr>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chemeClr val="accent1">
                <a:lumMod val="60000"/>
              </a:schemeClr>
            </a:solidFill>
            <a:round/>
          </a:ln>
          <a:effectLst/>
        </c:spPr>
        <c:marker>
          <c:spPr>
            <a:solidFill>
              <a:schemeClr val="accent1">
                <a:lumMod val="60000"/>
              </a:schemeClr>
            </a:solidFill>
            <a:ln w="9525">
              <a:solidFill>
                <a:schemeClr val="accent1">
                  <a:lumMod val="60000"/>
                </a:schemeClr>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gt;=1000000]#,##0,,&quot;M&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pivotFmt>
      <c:pivotFmt>
        <c:idx val="17"/>
        <c:spPr>
          <a:solidFill>
            <a:schemeClr val="accent1"/>
          </a:solidFill>
          <a:ln>
            <a:noFill/>
          </a:ln>
          <a:effectLst/>
        </c:spPr>
        <c:marker>
          <c:symbol val="none"/>
        </c:marker>
        <c:dLbl>
          <c:idx val="0"/>
          <c:numFmt formatCode="[&gt;=1000000]#,##0.0,,&quot;M&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60000"/>
            </a:schemeClr>
          </a:solidFill>
          <a:ln>
            <a:noFill/>
          </a:ln>
          <a:effectLst/>
        </c:spPr>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pivotFmt>
      <c:pivotFmt>
        <c:idx val="21"/>
        <c:spPr>
          <a:solidFill>
            <a:schemeClr val="accent5"/>
          </a:solidFill>
          <a:ln>
            <a:noFill/>
          </a:ln>
          <a:effectLst/>
        </c:spPr>
      </c:pivotFmt>
      <c:pivotFmt>
        <c:idx val="22"/>
        <c:spPr>
          <a:solidFill>
            <a:schemeClr val="accent5"/>
          </a:solidFill>
          <a:ln>
            <a:noFill/>
          </a:ln>
          <a:effectLst/>
        </c:spPr>
      </c:pivotFmt>
      <c:pivotFmt>
        <c:idx val="23"/>
        <c:spPr>
          <a:solidFill>
            <a:schemeClr val="accent3"/>
          </a:solidFill>
          <a:ln>
            <a:noFill/>
          </a:ln>
          <a:effectLst/>
        </c:spPr>
      </c:pivotFmt>
      <c:pivotFmt>
        <c:idx val="24"/>
        <c:spPr>
          <a:solidFill>
            <a:schemeClr val="accent5"/>
          </a:solidFill>
          <a:ln>
            <a:noFill/>
          </a:ln>
          <a:effectLst/>
        </c:spPr>
        <c:dLbl>
          <c:idx val="0"/>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687542634751717E-2"/>
                  <c:h val="9.7305578034389412E-2"/>
                </c:manualLayout>
              </c15:layout>
            </c:ext>
          </c:extLst>
        </c:dLbl>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s>
    <c:plotArea>
      <c:layout>
        <c:manualLayout>
          <c:layoutTarget val="inner"/>
          <c:xMode val="edge"/>
          <c:yMode val="edge"/>
          <c:x val="2.7854107080492473E-2"/>
          <c:y val="0.11526024689241798"/>
          <c:w val="0.97101060765590086"/>
          <c:h val="0.77827240519347918"/>
        </c:manualLayout>
      </c:layout>
      <c:barChart>
        <c:barDir val="col"/>
        <c:grouping val="clustered"/>
        <c:varyColors val="0"/>
        <c:ser>
          <c:idx val="0"/>
          <c:order val="0"/>
          <c:tx>
            <c:strRef>
              <c:f>'Bank Pivots'!$B$28:$B$29</c:f>
              <c:strCache>
                <c:ptCount val="1"/>
                <c:pt idx="0">
                  <c:v>Facebook</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'Bank Pivots'!$A$30:$A$42</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f>'Bank Pivots'!$B$30:$B$42</c:f>
              <c:numCache>
                <c:formatCode>#,##0_);\(#,##0\)</c:formatCode>
                <c:ptCount val="12"/>
                <c:pt idx="0">
                  <c:v>14546548</c:v>
                </c:pt>
                <c:pt idx="1">
                  <c:v>14543591</c:v>
                </c:pt>
                <c:pt idx="2">
                  <c:v>14894072</c:v>
                </c:pt>
                <c:pt idx="3">
                  <c:v>14888169</c:v>
                </c:pt>
                <c:pt idx="4">
                  <c:v>14885505</c:v>
                </c:pt>
                <c:pt idx="5">
                  <c:v>14881830</c:v>
                </c:pt>
                <c:pt idx="6">
                  <c:v>14888588</c:v>
                </c:pt>
                <c:pt idx="7">
                  <c:v>14891551</c:v>
                </c:pt>
                <c:pt idx="8">
                  <c:v>14904113</c:v>
                </c:pt>
                <c:pt idx="9">
                  <c:v>14882289</c:v>
                </c:pt>
                <c:pt idx="10">
                  <c:v>14892738</c:v>
                </c:pt>
                <c:pt idx="11">
                  <c:v>14898897</c:v>
                </c:pt>
              </c:numCache>
            </c:numRef>
          </c:val>
          <c:extLst>
            <c:ext xmlns:c16="http://schemas.microsoft.com/office/drawing/2014/chart" uri="{C3380CC4-5D6E-409C-BE32-E72D297353CC}">
              <c16:uniqueId val="{00000000-F6A2-4332-BB13-17087AAF6E61}"/>
            </c:ext>
          </c:extLst>
        </c:ser>
        <c:ser>
          <c:idx val="1"/>
          <c:order val="1"/>
          <c:tx>
            <c:strRef>
              <c:f>'Bank Pivots'!$C$28:$C$29</c:f>
              <c:strCache>
                <c:ptCount val="1"/>
                <c:pt idx="0">
                  <c:v>Instagram</c:v>
                </c:pt>
              </c:strCache>
            </c:strRef>
          </c:tx>
          <c:spPr>
            <a:solidFill>
              <a:schemeClr val="accent3"/>
            </a:solidFill>
            <a:ln>
              <a:noFill/>
            </a:ln>
            <a:effectLst/>
          </c:spPr>
          <c:invertIfNegative val="0"/>
          <c:dPt>
            <c:idx val="2"/>
            <c:invertIfNegative val="0"/>
            <c:bubble3D val="0"/>
            <c:spPr>
              <a:solidFill>
                <a:schemeClr val="accent3"/>
              </a:solidFill>
              <a:ln>
                <a:noFill/>
              </a:ln>
              <a:effectLst/>
            </c:spPr>
            <c:extLst>
              <c:ext xmlns:c16="http://schemas.microsoft.com/office/drawing/2014/chart" uri="{C3380CC4-5D6E-409C-BE32-E72D297353CC}">
                <c16:uniqueId val="{00000001-4A5D-45A7-92D2-682D826A39AC}"/>
              </c:ext>
            </c:extLst>
          </c:dPt>
          <c:dLbls>
            <c:numFmt formatCode="[&gt;=1000000]#,##0,,&quot;M&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'Bank Pivots'!$A$30:$A$42</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f>'Bank Pivots'!$C$30:$C$42</c:f>
              <c:numCache>
                <c:formatCode>#,##0_);\(#,##0\)</c:formatCode>
                <c:ptCount val="12"/>
                <c:pt idx="0">
                  <c:v>373925</c:v>
                </c:pt>
                <c:pt idx="1">
                  <c:v>350252</c:v>
                </c:pt>
                <c:pt idx="2">
                  <c:v>815663</c:v>
                </c:pt>
                <c:pt idx="3">
                  <c:v>838628</c:v>
                </c:pt>
                <c:pt idx="4">
                  <c:v>855943</c:v>
                </c:pt>
                <c:pt idx="5">
                  <c:v>848355</c:v>
                </c:pt>
                <c:pt idx="6">
                  <c:v>904034</c:v>
                </c:pt>
                <c:pt idx="7">
                  <c:v>917313</c:v>
                </c:pt>
                <c:pt idx="8">
                  <c:v>950813</c:v>
                </c:pt>
                <c:pt idx="9">
                  <c:v>981275</c:v>
                </c:pt>
                <c:pt idx="10">
                  <c:v>1009854</c:v>
                </c:pt>
                <c:pt idx="11">
                  <c:v>1024168</c:v>
                </c:pt>
              </c:numCache>
            </c:numRef>
          </c:val>
          <c:extLst>
            <c:ext xmlns:c16="http://schemas.microsoft.com/office/drawing/2014/chart" uri="{C3380CC4-5D6E-409C-BE32-E72D297353CC}">
              <c16:uniqueId val="{00000016-15EC-460E-A16B-5F50FB43DEB1}"/>
            </c:ext>
          </c:extLst>
        </c:ser>
        <c:ser>
          <c:idx val="2"/>
          <c:order val="2"/>
          <c:tx>
            <c:strRef>
              <c:f>'Bank Pivots'!$D$28:$D$29</c:f>
              <c:strCache>
                <c:ptCount val="1"/>
                <c:pt idx="0">
                  <c:v>LinkedIn</c:v>
                </c:pt>
              </c:strCache>
            </c:strRef>
          </c:tx>
          <c:spPr>
            <a:solidFill>
              <a:schemeClr val="accent5"/>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3-4A5D-45A7-92D2-682D826A39AC}"/>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5-4A5D-45A7-92D2-682D826A39AC}"/>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4A5D-45A7-92D2-682D826A39AC}"/>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A5D-45A7-92D2-682D826A39AC}"/>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B-4A5D-45A7-92D2-682D826A39AC}"/>
              </c:ext>
            </c:extLst>
          </c:dPt>
          <c:dLbls>
            <c:dLbl>
              <c:idx val="2"/>
              <c:numFmt formatCode="#,##0.0,,&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687542634751717E-2"/>
                      <c:h val="9.7305578034389412E-2"/>
                    </c:manualLayout>
                  </c15:layout>
                </c:ext>
                <c:ext xmlns:c16="http://schemas.microsoft.com/office/drawing/2014/chart" uri="{C3380CC4-5D6E-409C-BE32-E72D297353CC}">
                  <c16:uniqueId val="{00000005-4A5D-45A7-92D2-682D826A39AC}"/>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'Bank Pivots'!$A$30:$A$42</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f>'Bank Pivots'!$D$30:$D$42</c:f>
              <c:numCache>
                <c:formatCode>#,##0_);\(#,##0\)</c:formatCode>
                <c:ptCount val="12"/>
                <c:pt idx="0">
                  <c:v>11347989</c:v>
                </c:pt>
                <c:pt idx="1">
                  <c:v>11459292</c:v>
                </c:pt>
                <c:pt idx="2">
                  <c:v>11600176</c:v>
                </c:pt>
                <c:pt idx="3">
                  <c:v>11757159</c:v>
                </c:pt>
                <c:pt idx="4">
                  <c:v>12627283</c:v>
                </c:pt>
                <c:pt idx="5">
                  <c:v>12182209</c:v>
                </c:pt>
                <c:pt idx="6">
                  <c:v>12367051</c:v>
                </c:pt>
                <c:pt idx="7">
                  <c:v>12915175</c:v>
                </c:pt>
                <c:pt idx="8">
                  <c:v>13157429</c:v>
                </c:pt>
                <c:pt idx="9">
                  <c:v>13343446</c:v>
                </c:pt>
                <c:pt idx="10">
                  <c:v>13507362</c:v>
                </c:pt>
                <c:pt idx="11">
                  <c:v>13612331</c:v>
                </c:pt>
              </c:numCache>
            </c:numRef>
          </c:val>
          <c:extLst>
            <c:ext xmlns:c16="http://schemas.microsoft.com/office/drawing/2014/chart" uri="{C3380CC4-5D6E-409C-BE32-E72D297353CC}">
              <c16:uniqueId val="{00000017-15EC-460E-A16B-5F50FB43DEB1}"/>
            </c:ext>
          </c:extLst>
        </c:ser>
        <c:ser>
          <c:idx val="3"/>
          <c:order val="3"/>
          <c:tx>
            <c:strRef>
              <c:f>'Bank Pivots'!$E$28:$E$29</c:f>
              <c:strCache>
                <c:ptCount val="1"/>
                <c:pt idx="0">
                  <c:v>Twitter</c:v>
                </c:pt>
              </c:strCache>
            </c:strRef>
          </c:tx>
          <c:spPr>
            <a:solidFill>
              <a:schemeClr val="accent1">
                <a:lumMod val="60000"/>
              </a:schemeClr>
            </a:solidFill>
            <a:ln>
              <a:noFill/>
            </a:ln>
            <a:effectLst/>
          </c:spPr>
          <c:invertIfNegative val="0"/>
          <c:dPt>
            <c:idx val="2"/>
            <c:invertIfNegative val="0"/>
            <c:bubble3D val="0"/>
            <c:spPr>
              <a:solidFill>
                <a:schemeClr val="accent1">
                  <a:lumMod val="60000"/>
                </a:schemeClr>
              </a:solidFill>
              <a:ln>
                <a:noFill/>
              </a:ln>
              <a:effectLst/>
            </c:spPr>
            <c:extLst>
              <c:ext xmlns:c16="http://schemas.microsoft.com/office/drawing/2014/chart" uri="{C3380CC4-5D6E-409C-BE32-E72D297353CC}">
                <c16:uniqueId val="{0000000D-4A5D-45A7-92D2-682D826A39AC}"/>
              </c:ext>
            </c:extLst>
          </c:dPt>
          <c:dLbls>
            <c:numFmt formatCode="[&gt;=1000000]#,##0.0,,&quot;M&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'Bank Pivots'!$A$30:$A$42</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f>'Bank Pivots'!$E$30:$E$42</c:f>
              <c:numCache>
                <c:formatCode>#,##0_);\(#,##0\)</c:formatCode>
                <c:ptCount val="12"/>
                <c:pt idx="0">
                  <c:v>4287221</c:v>
                </c:pt>
                <c:pt idx="1">
                  <c:v>4360126</c:v>
                </c:pt>
                <c:pt idx="2">
                  <c:v>4442357</c:v>
                </c:pt>
                <c:pt idx="3">
                  <c:v>4501685</c:v>
                </c:pt>
                <c:pt idx="4">
                  <c:v>4509724</c:v>
                </c:pt>
                <c:pt idx="5">
                  <c:v>4514374</c:v>
                </c:pt>
                <c:pt idx="6">
                  <c:v>4533639</c:v>
                </c:pt>
                <c:pt idx="7">
                  <c:v>4600252</c:v>
                </c:pt>
                <c:pt idx="8">
                  <c:v>4614823</c:v>
                </c:pt>
                <c:pt idx="9">
                  <c:v>4689716</c:v>
                </c:pt>
                <c:pt idx="10">
                  <c:v>4672544</c:v>
                </c:pt>
                <c:pt idx="11">
                  <c:v>4671186</c:v>
                </c:pt>
              </c:numCache>
            </c:numRef>
          </c:val>
          <c:extLst>
            <c:ext xmlns:c16="http://schemas.microsoft.com/office/drawing/2014/chart" uri="{C3380CC4-5D6E-409C-BE32-E72D297353CC}">
              <c16:uniqueId val="{00000018-15EC-460E-A16B-5F50FB43DEB1}"/>
            </c:ext>
          </c:extLst>
        </c:ser>
        <c:dLbls>
          <c:showLegendKey val="0"/>
          <c:showVal val="0"/>
          <c:showCatName val="0"/>
          <c:showSerName val="0"/>
          <c:showPercent val="0"/>
          <c:showBubbleSize val="0"/>
        </c:dLbls>
        <c:gapWidth val="150"/>
        <c:axId val="1394392480"/>
        <c:axId val="1394387904"/>
      </c:barChart>
      <c:catAx>
        <c:axId val="139439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4387904"/>
        <c:crosses val="autoZero"/>
        <c:auto val="1"/>
        <c:lblAlgn val="ctr"/>
        <c:lblOffset val="100"/>
        <c:noMultiLvlLbl val="0"/>
      </c:catAx>
      <c:valAx>
        <c:axId val="1394387904"/>
        <c:scaling>
          <c:orientation val="minMax"/>
        </c:scaling>
        <c:delete val="1"/>
        <c:axPos val="l"/>
        <c:numFmt formatCode="#,##0_);\(#,##0\)" sourceLinked="1"/>
        <c:majorTickMark val="none"/>
        <c:minorTickMark val="none"/>
        <c:tickLblPos val="nextTo"/>
        <c:crossAx val="1394392480"/>
        <c:crosses val="autoZero"/>
        <c:crossBetween val="between"/>
      </c:valAx>
      <c:spPr>
        <a:solidFill>
          <a:schemeClr val="bg1">
            <a:lumMod val="85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Collection - Jan to Dec-2022.xlsx]Headline Pivots!PivotTable4</c:name>
    <c:fmtId val="8"/>
  </c:pivotSource>
  <c:chart>
    <c:autoTitleDeleted val="1"/>
    <c:pivotFmts>
      <c:pivotFmt>
        <c:idx val="0"/>
        <c:spPr>
          <a:solidFill>
            <a:schemeClr val="accent1"/>
          </a:solidFill>
          <a:ln w="19050">
            <a:solidFill>
              <a:schemeClr val="lt1"/>
            </a:solid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4766673475692283"/>
                  <c:h val="0.22680867598328924"/>
                </c:manualLayout>
              </c15:layout>
            </c:ext>
          </c:extLst>
        </c:dLbl>
      </c:pivotFmt>
      <c:pivotFmt>
        <c:idx val="8"/>
        <c:spPr>
          <a:solidFill>
            <a:schemeClr val="accent1"/>
          </a:solidFill>
          <a:ln w="19050">
            <a:solidFill>
              <a:schemeClr val="lt1"/>
            </a:solidFill>
          </a:ln>
          <a:effectLst/>
        </c:spPr>
        <c:dLbl>
          <c:idx val="0"/>
          <c:layout>
            <c:manualLayout>
              <c:x val="8.5770984144085557E-2"/>
              <c:y val="8.111466822478974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2775308990305102"/>
                  <c:h val="0.15948627329919843"/>
                </c:manualLayout>
              </c15:layout>
            </c:ext>
          </c:extLst>
        </c:dLbl>
      </c:pivotFmt>
      <c:pivotFmt>
        <c:idx val="9"/>
        <c:spPr>
          <a:solidFill>
            <a:schemeClr val="accent1"/>
          </a:solidFill>
          <a:ln w="19050">
            <a:solidFill>
              <a:schemeClr val="lt1"/>
            </a:solidFill>
          </a:ln>
          <a:effectLst/>
        </c:spP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1249115749074993"/>
                  <c:h val="0.22680867598328924"/>
                </c:manualLayout>
              </c15:layout>
            </c:ext>
          </c:extLst>
        </c:dLbl>
      </c:pivotFmt>
      <c:pivotFmt>
        <c:idx val="10"/>
        <c:spPr>
          <a:solidFill>
            <a:schemeClr val="accent1"/>
          </a:solidFill>
          <a:ln w="19050">
            <a:solidFill>
              <a:schemeClr val="lt1"/>
            </a:solidFill>
          </a:ln>
          <a:effectLst/>
        </c:spPr>
      </c:pivotFmt>
    </c:pivotFmts>
    <c:plotArea>
      <c:layout>
        <c:manualLayout>
          <c:layoutTarget val="inner"/>
          <c:xMode val="edge"/>
          <c:yMode val="edge"/>
          <c:x val="0.18107910115747497"/>
          <c:y val="0.13031933414729582"/>
          <c:w val="0.44932929084902357"/>
          <c:h val="0.77346008035082214"/>
        </c:manualLayout>
      </c:layout>
      <c:pieChart>
        <c:varyColors val="1"/>
        <c:ser>
          <c:idx val="0"/>
          <c:order val="0"/>
          <c:tx>
            <c:strRef>
              <c:f>'Headline Pivots'!$M$4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B1-4D46-993A-C0E7BC893BF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FB1-4D46-993A-C0E7BC893BF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AFB1-4D46-993A-C0E7BC893BFE}"/>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AFB1-4D46-993A-C0E7BC893BFE}"/>
              </c:ext>
            </c:extLst>
          </c:dPt>
          <c:dLbls>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4766673475692283"/>
                      <c:h val="0.22680867598328924"/>
                    </c:manualLayout>
                  </c15:layout>
                </c:ext>
                <c:ext xmlns:c16="http://schemas.microsoft.com/office/drawing/2014/chart" uri="{C3380CC4-5D6E-409C-BE32-E72D297353CC}">
                  <c16:uniqueId val="{00000001-AFB1-4D46-993A-C0E7BC893BFE}"/>
                </c:ext>
              </c:extLst>
            </c:dLbl>
            <c:dLbl>
              <c:idx val="1"/>
              <c:layout>
                <c:manualLayout>
                  <c:x val="8.5770984144085557E-2"/>
                  <c:y val="8.111466822478974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2775308990305102"/>
                      <c:h val="0.15948627329919843"/>
                    </c:manualLayout>
                  </c15:layout>
                </c:ext>
                <c:ext xmlns:c16="http://schemas.microsoft.com/office/drawing/2014/chart" uri="{C3380CC4-5D6E-409C-BE32-E72D297353CC}">
                  <c16:uniqueId val="{00000003-AFB1-4D46-993A-C0E7BC893BFE}"/>
                </c:ext>
              </c:extLst>
            </c:dLbl>
            <c:dLbl>
              <c:idx val="2"/>
              <c:numFmt formatCode="0%" sourceLinked="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1249115749074993"/>
                      <c:h val="0.22680867598328924"/>
                    </c:manualLayout>
                  </c15:layout>
                </c:ext>
                <c:ext xmlns:c16="http://schemas.microsoft.com/office/drawing/2014/chart" uri="{C3380CC4-5D6E-409C-BE32-E72D297353CC}">
                  <c16:uniqueId val="{00000005-AFB1-4D46-993A-C0E7BC893BF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'Headline Pivots'!$L$5:$L$9</c:f>
              <c:strCache>
                <c:ptCount val="4"/>
                <c:pt idx="0">
                  <c:v>Facebook</c:v>
                </c:pt>
                <c:pt idx="1">
                  <c:v>Instagram</c:v>
                </c:pt>
                <c:pt idx="2">
                  <c:v>LinkedIn</c:v>
                </c:pt>
                <c:pt idx="3">
                  <c:v>Twitter</c:v>
                </c:pt>
              </c:strCache>
            </c:strRef>
          </c:cat>
          <c:val>
            <c:numRef>
              <c:f>'Headline Pivots'!$M$5:$M$9</c:f>
              <c:numCache>
                <c:formatCode>0%</c:formatCode>
                <c:ptCount val="4"/>
                <c:pt idx="0">
                  <c:v>0.45391105787436342</c:v>
                </c:pt>
                <c:pt idx="1">
                  <c:v>2.5169980038616712E-2</c:v>
                </c:pt>
                <c:pt idx="2">
                  <c:v>0.38219993931137253</c:v>
                </c:pt>
                <c:pt idx="3">
                  <c:v>0.13871902277564735</c:v>
                </c:pt>
              </c:numCache>
            </c:numRef>
          </c:val>
          <c:extLst>
            <c:ext xmlns:c16="http://schemas.microsoft.com/office/drawing/2014/chart" uri="{C3380CC4-5D6E-409C-BE32-E72D297353CC}">
              <c16:uniqueId val="{00000008-AFB1-4D46-993A-C0E7BC893BF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[Social Media Collection - Jan to Dec-2022.xlsx]Headline Pivots!PivotTable2</c:name>
    <c:fmtId val="5"/>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solidFill>
                  <a:schemeClr val="tx1"/>
                </a:solidFill>
              </a:rPr>
              <a:t>Number of Followers by Month</a:t>
            </a:r>
          </a:p>
        </c:rich>
      </c:tx>
      <c:layout>
        <c:manualLayout>
          <c:xMode val="edge"/>
          <c:yMode val="edge"/>
          <c:x val="1.081461516007565E-2"/>
          <c:y val="4.4375696488864497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4.5495993354589363E-2"/>
              <c:y val="-0.10990096498160778"/>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layout>
            <c:manualLayout>
              <c:x val="-4.5495993354589363E-2"/>
              <c:y val="-0.10990096498160778"/>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2"/>
          </a:solidFill>
          <a:ln>
            <a:noFill/>
          </a:ln>
          <a:effectLst/>
        </c:spPr>
        <c:dLbl>
          <c:idx val="0"/>
          <c:layout>
            <c:manualLayout>
              <c:x val="-1.5302827287712432E-3"/>
              <c:y val="2.202392341455207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577303096746333E-2"/>
          <c:y val="9.3962959344762211E-3"/>
          <c:w val="0.9645311562182951"/>
          <c:h val="0.86084406541972336"/>
        </c:manualLayout>
      </c:layout>
      <c:barChart>
        <c:barDir val="col"/>
        <c:grouping val="clustered"/>
        <c:varyColors val="0"/>
        <c:ser>
          <c:idx val="0"/>
          <c:order val="0"/>
          <c:tx>
            <c:strRef>
              <c:f>'Headline Pivots'!$B$3</c:f>
              <c:strCache>
                <c:ptCount val="1"/>
                <c:pt idx="0">
                  <c:v>Total</c:v>
                </c:pt>
              </c:strCache>
            </c:strRef>
          </c:tx>
          <c:spPr>
            <a:solidFill>
              <a:schemeClr val="accent2"/>
            </a:solidFill>
            <a:ln>
              <a:noFill/>
            </a:ln>
            <a:effectLst/>
          </c:spPr>
          <c:invertIfNegative val="0"/>
          <c:dPt>
            <c:idx val="11"/>
            <c:invertIfNegative val="0"/>
            <c:bubble3D val="0"/>
            <c:spPr>
              <a:solidFill>
                <a:schemeClr val="accent2"/>
              </a:solidFill>
              <a:ln>
                <a:noFill/>
              </a:ln>
              <a:effectLst/>
            </c:spPr>
            <c:extLst>
              <c:ext xmlns:c16="http://schemas.microsoft.com/office/drawing/2014/chart" uri="{C3380CC4-5D6E-409C-BE32-E72D297353CC}">
                <c16:uniqueId val="{00000000-82AD-48E1-88D6-EE10761CCE73}"/>
              </c:ext>
            </c:extLst>
          </c:dPt>
          <c:dLbls>
            <c:dLbl>
              <c:idx val="11"/>
              <c:layout>
                <c:manualLayout>
                  <c:x val="-1.5302827287712432E-3"/>
                  <c:y val="2.20239234145520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AD-48E1-88D6-EE10761CCE73}"/>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'Headline Pivots'!$A$4:$A$16</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f>'Headline Pivots'!$B$4:$B$16</c:f>
              <c:numCache>
                <c:formatCode>#,##0_);\(#,##0\)</c:formatCode>
                <c:ptCount val="12"/>
                <c:pt idx="0">
                  <c:v>30555683</c:v>
                </c:pt>
                <c:pt idx="1">
                  <c:v>30713261</c:v>
                </c:pt>
                <c:pt idx="2">
                  <c:v>31752268</c:v>
                </c:pt>
                <c:pt idx="3">
                  <c:v>31985641</c:v>
                </c:pt>
                <c:pt idx="4">
                  <c:v>32878455</c:v>
                </c:pt>
                <c:pt idx="5">
                  <c:v>32426768</c:v>
                </c:pt>
                <c:pt idx="6">
                  <c:v>32693312</c:v>
                </c:pt>
                <c:pt idx="7">
                  <c:v>33324291</c:v>
                </c:pt>
                <c:pt idx="8">
                  <c:v>33627178</c:v>
                </c:pt>
                <c:pt idx="9">
                  <c:v>33896726</c:v>
                </c:pt>
                <c:pt idx="10">
                  <c:v>34082498</c:v>
                </c:pt>
                <c:pt idx="11">
                  <c:v>34206582</c:v>
                </c:pt>
              </c:numCache>
            </c:numRef>
          </c:val>
          <c:extLst>
            <c:ext xmlns:c16="http://schemas.microsoft.com/office/drawing/2014/chart" uri="{C3380CC4-5D6E-409C-BE32-E72D297353CC}">
              <c16:uniqueId val="{00000001-6017-4E9F-B966-1BE5A9DA4588}"/>
            </c:ext>
          </c:extLst>
        </c:ser>
        <c:dLbls>
          <c:showLegendKey val="0"/>
          <c:showVal val="0"/>
          <c:showCatName val="0"/>
          <c:showSerName val="0"/>
          <c:showPercent val="0"/>
          <c:showBubbleSize val="0"/>
        </c:dLbls>
        <c:gapWidth val="150"/>
        <c:axId val="1672129120"/>
        <c:axId val="1672127040"/>
      </c:barChart>
      <c:catAx>
        <c:axId val="167212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72127040"/>
        <c:crosses val="autoZero"/>
        <c:auto val="1"/>
        <c:lblAlgn val="ctr"/>
        <c:lblOffset val="100"/>
        <c:noMultiLvlLbl val="0"/>
      </c:catAx>
      <c:valAx>
        <c:axId val="1672127040"/>
        <c:scaling>
          <c:orientation val="minMax"/>
        </c:scaling>
        <c:delete val="1"/>
        <c:axPos val="l"/>
        <c:numFmt formatCode="#,##0_);\(#,##0\)" sourceLinked="1"/>
        <c:majorTickMark val="none"/>
        <c:minorTickMark val="none"/>
        <c:tickLblPos val="nextTo"/>
        <c:crossAx val="1672129120"/>
        <c:crosses val="autoZero"/>
        <c:crossBetween val="between"/>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Collection - Jan to Dec-2022.xlsx]Headline Pivots!PivotTable4</c:name>
    <c:fmtId val="4"/>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'Headline Pivots'!$M$4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D5-41D4-92CD-D96158C7524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3D5-41D4-92CD-D96158C7524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3D5-41D4-92CD-D96158C7524D}"/>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03D5-41D4-92CD-D96158C752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'Headline Pivots'!$L$5:$L$9</c:f>
              <c:strCache>
                <c:ptCount val="4"/>
                <c:pt idx="0">
                  <c:v>Facebook</c:v>
                </c:pt>
                <c:pt idx="1">
                  <c:v>Instagram</c:v>
                </c:pt>
                <c:pt idx="2">
                  <c:v>LinkedIn</c:v>
                </c:pt>
                <c:pt idx="3">
                  <c:v>Twitter</c:v>
                </c:pt>
              </c:strCache>
            </c:strRef>
          </c:cat>
          <c:val>
            <c:numRef>
              <c:f>'Headline Pivots'!$M$5:$M$9</c:f>
              <c:numCache>
                <c:formatCode>0%</c:formatCode>
                <c:ptCount val="4"/>
                <c:pt idx="0">
                  <c:v>0.45391105787436342</c:v>
                </c:pt>
                <c:pt idx="1">
                  <c:v>2.5169980038616712E-2</c:v>
                </c:pt>
                <c:pt idx="2">
                  <c:v>0.38219993931137253</c:v>
                </c:pt>
                <c:pt idx="3">
                  <c:v>0.13871902277564735</c:v>
                </c:pt>
              </c:numCache>
            </c:numRef>
          </c:val>
          <c:extLst>
            <c:ext xmlns:c16="http://schemas.microsoft.com/office/drawing/2014/chart" uri="{C3380CC4-5D6E-409C-BE32-E72D297353CC}">
              <c16:uniqueId val="{00000000-149D-4901-B970-B36904B56B3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[Social Media Collection - Jan to Dec-2022.xlsx]Headline Pivots!PivotTable2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4.5495993354589363E-2"/>
              <c:y val="-0.10990096498160778"/>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90650663297533E-2"/>
          <c:y val="0.2037174721189591"/>
          <c:w val="0.94440934933670251"/>
          <c:h val="0.71211895910780665"/>
        </c:manualLayout>
      </c:layout>
      <c:lineChart>
        <c:grouping val="standard"/>
        <c:varyColors val="0"/>
        <c:ser>
          <c:idx val="0"/>
          <c:order val="0"/>
          <c:tx>
            <c:strRef>
              <c:f>'Headline Pivots'!$B$3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Pt>
            <c:idx val="2"/>
            <c:marker>
              <c:symbol val="circle"/>
              <c:size val="5"/>
              <c:spPr>
                <a:solidFill>
                  <a:schemeClr val="accent4"/>
                </a:solidFill>
                <a:ln w="9525">
                  <a:solidFill>
                    <a:schemeClr val="accent4"/>
                  </a:solidFill>
                </a:ln>
                <a:effectLst/>
              </c:spPr>
            </c:marker>
            <c:bubble3D val="0"/>
            <c:extLst>
              <c:ext xmlns:c16="http://schemas.microsoft.com/office/drawing/2014/chart" uri="{C3380CC4-5D6E-409C-BE32-E72D297353CC}">
                <c16:uniqueId val="{00000002-28C2-446E-9F65-5A572AA91588}"/>
              </c:ext>
            </c:extLst>
          </c:dPt>
          <c:dLbls>
            <c:dLbl>
              <c:idx val="2"/>
              <c:layout>
                <c:manualLayout>
                  <c:x val="-4.5495993354589363E-2"/>
                  <c:y val="-0.109900964981607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C2-446E-9F65-5A572AA91588}"/>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'Headline Pivots'!$A$4:$A$16</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f>'Headline Pivots'!$B$4:$B$16</c:f>
              <c:numCache>
                <c:formatCode>#,##0_);\(#,##0\)</c:formatCode>
                <c:ptCount val="12"/>
                <c:pt idx="0">
                  <c:v>30555683</c:v>
                </c:pt>
                <c:pt idx="1">
                  <c:v>30713261</c:v>
                </c:pt>
                <c:pt idx="2">
                  <c:v>31752268</c:v>
                </c:pt>
                <c:pt idx="3">
                  <c:v>31985641</c:v>
                </c:pt>
                <c:pt idx="4">
                  <c:v>32878455</c:v>
                </c:pt>
                <c:pt idx="5">
                  <c:v>32426768</c:v>
                </c:pt>
                <c:pt idx="6">
                  <c:v>32693312</c:v>
                </c:pt>
                <c:pt idx="7">
                  <c:v>33324291</c:v>
                </c:pt>
                <c:pt idx="8">
                  <c:v>33627178</c:v>
                </c:pt>
                <c:pt idx="9">
                  <c:v>33896726</c:v>
                </c:pt>
                <c:pt idx="10">
                  <c:v>34082498</c:v>
                </c:pt>
                <c:pt idx="11">
                  <c:v>34206582</c:v>
                </c:pt>
              </c:numCache>
            </c:numRef>
          </c:val>
          <c:smooth val="0"/>
          <c:extLst>
            <c:ext xmlns:c16="http://schemas.microsoft.com/office/drawing/2014/chart" uri="{C3380CC4-5D6E-409C-BE32-E72D297353CC}">
              <c16:uniqueId val="{00000000-28C2-446E-9F65-5A572AA91588}"/>
            </c:ext>
          </c:extLst>
        </c:ser>
        <c:dLbls>
          <c:showLegendKey val="0"/>
          <c:showVal val="0"/>
          <c:showCatName val="0"/>
          <c:showSerName val="0"/>
          <c:showPercent val="0"/>
          <c:showBubbleSize val="0"/>
        </c:dLbls>
        <c:marker val="1"/>
        <c:smooth val="0"/>
        <c:axId val="1672129120"/>
        <c:axId val="1672127040"/>
      </c:lineChart>
      <c:catAx>
        <c:axId val="167212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127040"/>
        <c:crosses val="autoZero"/>
        <c:auto val="1"/>
        <c:lblAlgn val="ctr"/>
        <c:lblOffset val="100"/>
        <c:noMultiLvlLbl val="0"/>
      </c:catAx>
      <c:valAx>
        <c:axId val="1672127040"/>
        <c:scaling>
          <c:orientation val="minMax"/>
        </c:scaling>
        <c:delete val="1"/>
        <c:axPos val="l"/>
        <c:numFmt formatCode="#,##0_);\(#,##0\)" sourceLinked="1"/>
        <c:majorTickMark val="none"/>
        <c:minorTickMark val="none"/>
        <c:tickLblPos val="nextTo"/>
        <c:crossAx val="167212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Collection - Jan to Dec-2022.xlsx]Bank Pivots!PivotTable1</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layout>
            <c:manualLayout>
              <c:x val="-4.5066481074614417E-2"/>
              <c:y val="4.120177509899943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4.6148271192659636E-2"/>
              <c:y val="-4.1962845783452829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'Bank Pivots'!$B$28:$B$29</c:f>
              <c:strCache>
                <c:ptCount val="1"/>
                <c:pt idx="0">
                  <c:v>Facebook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'Bank Pivots'!$A$30:$A$42</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f>'Bank Pivots'!$B$30:$B$42</c:f>
              <c:numCache>
                <c:formatCode>#,##0_);\(#,##0\)</c:formatCode>
                <c:ptCount val="12"/>
                <c:pt idx="0">
                  <c:v>14546548</c:v>
                </c:pt>
                <c:pt idx="1">
                  <c:v>14543591</c:v>
                </c:pt>
                <c:pt idx="2">
                  <c:v>14894072</c:v>
                </c:pt>
                <c:pt idx="3">
                  <c:v>14888169</c:v>
                </c:pt>
                <c:pt idx="4">
                  <c:v>14885505</c:v>
                </c:pt>
                <c:pt idx="5">
                  <c:v>14881830</c:v>
                </c:pt>
                <c:pt idx="6">
                  <c:v>14888588</c:v>
                </c:pt>
                <c:pt idx="7">
                  <c:v>14891551</c:v>
                </c:pt>
                <c:pt idx="8">
                  <c:v>14904113</c:v>
                </c:pt>
                <c:pt idx="9">
                  <c:v>14882289</c:v>
                </c:pt>
                <c:pt idx="10">
                  <c:v>14892738</c:v>
                </c:pt>
                <c:pt idx="11">
                  <c:v>14898897</c:v>
                </c:pt>
              </c:numCache>
            </c:numRef>
          </c:val>
          <c:smooth val="0"/>
          <c:extLst>
            <c:ext xmlns:c16="http://schemas.microsoft.com/office/drawing/2014/chart" uri="{C3380CC4-5D6E-409C-BE32-E72D297353CC}">
              <c16:uniqueId val="{00000000-2FCB-45C8-A498-644E6719E995}"/>
            </c:ext>
          </c:extLst>
        </c:ser>
        <c:ser>
          <c:idx val="1"/>
          <c:order val="1"/>
          <c:tx>
            <c:strRef>
              <c:f>'Bank Pivots'!$C$28:$C$29</c:f>
              <c:strCache>
                <c:ptCount val="1"/>
                <c:pt idx="0">
                  <c:v>Instagram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'Bank Pivots'!$A$30:$A$42</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f>'Bank Pivots'!$C$30:$C$42</c:f>
              <c:numCache>
                <c:formatCode>#,##0_);\(#,##0\)</c:formatCode>
                <c:ptCount val="12"/>
                <c:pt idx="0">
                  <c:v>373925</c:v>
                </c:pt>
                <c:pt idx="1">
                  <c:v>350252</c:v>
                </c:pt>
                <c:pt idx="2">
                  <c:v>815663</c:v>
                </c:pt>
                <c:pt idx="3">
                  <c:v>838628</c:v>
                </c:pt>
                <c:pt idx="4">
                  <c:v>855943</c:v>
                </c:pt>
                <c:pt idx="5">
                  <c:v>848355</c:v>
                </c:pt>
                <c:pt idx="6">
                  <c:v>904034</c:v>
                </c:pt>
                <c:pt idx="7">
                  <c:v>917313</c:v>
                </c:pt>
                <c:pt idx="8">
                  <c:v>950813</c:v>
                </c:pt>
                <c:pt idx="9">
                  <c:v>981275</c:v>
                </c:pt>
                <c:pt idx="10">
                  <c:v>1009854</c:v>
                </c:pt>
                <c:pt idx="11">
                  <c:v>1024168</c:v>
                </c:pt>
              </c:numCache>
            </c:numRef>
          </c:val>
          <c:smooth val="0"/>
          <c:extLst>
            <c:ext xmlns:c16="http://schemas.microsoft.com/office/drawing/2014/chart" uri="{C3380CC4-5D6E-409C-BE32-E72D297353CC}">
              <c16:uniqueId val="{0000000D-FFFA-4776-9781-4E9CB3117E31}"/>
            </c:ext>
          </c:extLst>
        </c:ser>
        <c:ser>
          <c:idx val="2"/>
          <c:order val="2"/>
          <c:tx>
            <c:strRef>
              <c:f>'Bank Pivots'!$D$28:$D$29</c:f>
              <c:strCache>
                <c:ptCount val="1"/>
                <c:pt idx="0">
                  <c:v>LinkedIn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Pt>
            <c:idx val="3"/>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1-61B6-4DA0-A737-5E5760B7BCB3}"/>
              </c:ext>
            </c:extLst>
          </c:dPt>
          <c:dLbls>
            <c:dLbl>
              <c:idx val="3"/>
              <c:layout>
                <c:manualLayout>
                  <c:x val="-4.6148271192659636E-2"/>
                  <c:y val="-4.19628457834528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B6-4DA0-A737-5E5760B7BCB3}"/>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'Bank Pivots'!$A$30:$A$42</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f>'Bank Pivots'!$D$30:$D$42</c:f>
              <c:numCache>
                <c:formatCode>#,##0_);\(#,##0\)</c:formatCode>
                <c:ptCount val="12"/>
                <c:pt idx="0">
                  <c:v>11347989</c:v>
                </c:pt>
                <c:pt idx="1">
                  <c:v>11459292</c:v>
                </c:pt>
                <c:pt idx="2">
                  <c:v>11600176</c:v>
                </c:pt>
                <c:pt idx="3">
                  <c:v>11757159</c:v>
                </c:pt>
                <c:pt idx="4">
                  <c:v>12627283</c:v>
                </c:pt>
                <c:pt idx="5">
                  <c:v>12182209</c:v>
                </c:pt>
                <c:pt idx="6">
                  <c:v>12367051</c:v>
                </c:pt>
                <c:pt idx="7">
                  <c:v>12915175</c:v>
                </c:pt>
                <c:pt idx="8">
                  <c:v>13157429</c:v>
                </c:pt>
                <c:pt idx="9">
                  <c:v>13343446</c:v>
                </c:pt>
                <c:pt idx="10">
                  <c:v>13507362</c:v>
                </c:pt>
                <c:pt idx="11">
                  <c:v>13612331</c:v>
                </c:pt>
              </c:numCache>
            </c:numRef>
          </c:val>
          <c:smooth val="0"/>
          <c:extLst>
            <c:ext xmlns:c16="http://schemas.microsoft.com/office/drawing/2014/chart" uri="{C3380CC4-5D6E-409C-BE32-E72D297353CC}">
              <c16:uniqueId val="{0000000E-FFFA-4776-9781-4E9CB3117E31}"/>
            </c:ext>
          </c:extLst>
        </c:ser>
        <c:ser>
          <c:idx val="3"/>
          <c:order val="3"/>
          <c:tx>
            <c:strRef>
              <c:f>'Bank Pivots'!$E$28:$E$29</c:f>
              <c:strCache>
                <c:ptCount val="1"/>
                <c:pt idx="0">
                  <c:v>Twitter</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dPt>
            <c:idx val="2"/>
            <c:marker>
              <c:symbol val="circle"/>
              <c:size val="5"/>
              <c:spPr>
                <a:solidFill>
                  <a:schemeClr val="accent1">
                    <a:lumMod val="60000"/>
                  </a:schemeClr>
                </a:solidFill>
                <a:ln w="9525">
                  <a:solidFill>
                    <a:schemeClr val="accent1">
                      <a:lumMod val="60000"/>
                    </a:schemeClr>
                  </a:solidFill>
                </a:ln>
                <a:effectLst/>
              </c:spPr>
            </c:marker>
            <c:bubble3D val="0"/>
            <c:spPr>
              <a:ln w="28575" cap="rnd">
                <a:solidFill>
                  <a:schemeClr val="accent1">
                    <a:lumMod val="60000"/>
                  </a:schemeClr>
                </a:solidFill>
                <a:round/>
              </a:ln>
              <a:effectLst/>
            </c:spPr>
            <c:extLst>
              <c:ext xmlns:c16="http://schemas.microsoft.com/office/drawing/2014/chart" uri="{C3380CC4-5D6E-409C-BE32-E72D297353CC}">
                <c16:uniqueId val="{00000003-61B6-4DA0-A737-5E5760B7BCB3}"/>
              </c:ext>
            </c:extLst>
          </c:dPt>
          <c:dLbls>
            <c:dLbl>
              <c:idx val="2"/>
              <c:layout>
                <c:manualLayout>
                  <c:x val="-4.5066481074614417E-2"/>
                  <c:y val="4.12017750989994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B6-4DA0-A737-5E5760B7BCB3}"/>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'Bank Pivots'!$A$30:$A$42</c:f>
              <c:strCache>
                <c:ptCount val="12"/>
                <c:pt idx="0">
                  <c:v>Jan-22</c:v>
                </c:pt>
                <c:pt idx="1">
                  <c:v>Feb-22</c:v>
                </c:pt>
                <c:pt idx="2">
                  <c:v>Mar-22</c:v>
                </c:pt>
                <c:pt idx="3">
                  <c:v>Apr-22</c:v>
                </c:pt>
                <c:pt idx="4">
                  <c:v>May-22</c:v>
                </c:pt>
                <c:pt idx="5">
                  <c:v>Jun-22</c:v>
                </c:pt>
                <c:pt idx="6">
                  <c:v>Jul-22</c:v>
                </c:pt>
                <c:pt idx="7">
                  <c:v>Aug-22</c:v>
                </c:pt>
                <c:pt idx="8">
                  <c:v>Sep-22</c:v>
                </c:pt>
                <c:pt idx="9">
                  <c:v>Oct-22</c:v>
                </c:pt>
                <c:pt idx="10">
                  <c:v>Nov-22</c:v>
                </c:pt>
                <c:pt idx="11">
                  <c:v>Dec-22</c:v>
                </c:pt>
              </c:strCache>
            </c:strRef>
          </c:cat>
          <c:val>
            <c:numRef>
              <c:f>'Bank Pivots'!$E$30:$E$42</c:f>
              <c:numCache>
                <c:formatCode>#,##0_);\(#,##0\)</c:formatCode>
                <c:ptCount val="12"/>
                <c:pt idx="0">
                  <c:v>4287221</c:v>
                </c:pt>
                <c:pt idx="1">
                  <c:v>4360126</c:v>
                </c:pt>
                <c:pt idx="2">
                  <c:v>4442357</c:v>
                </c:pt>
                <c:pt idx="3">
                  <c:v>4501685</c:v>
                </c:pt>
                <c:pt idx="4">
                  <c:v>4509724</c:v>
                </c:pt>
                <c:pt idx="5">
                  <c:v>4514374</c:v>
                </c:pt>
                <c:pt idx="6">
                  <c:v>4533639</c:v>
                </c:pt>
                <c:pt idx="7">
                  <c:v>4600252</c:v>
                </c:pt>
                <c:pt idx="8">
                  <c:v>4614823</c:v>
                </c:pt>
                <c:pt idx="9">
                  <c:v>4689716</c:v>
                </c:pt>
                <c:pt idx="10">
                  <c:v>4672544</c:v>
                </c:pt>
                <c:pt idx="11">
                  <c:v>4671186</c:v>
                </c:pt>
              </c:numCache>
            </c:numRef>
          </c:val>
          <c:smooth val="0"/>
          <c:extLst>
            <c:ext xmlns:c16="http://schemas.microsoft.com/office/drawing/2014/chart" uri="{C3380CC4-5D6E-409C-BE32-E72D297353CC}">
              <c16:uniqueId val="{0000000F-FFFA-4776-9781-4E9CB3117E31}"/>
            </c:ext>
          </c:extLst>
        </c:ser>
        <c:dLbls>
          <c:showLegendKey val="0"/>
          <c:showVal val="0"/>
          <c:showCatName val="0"/>
          <c:showSerName val="0"/>
          <c:showPercent val="0"/>
          <c:showBubbleSize val="0"/>
        </c:dLbls>
        <c:marker val="1"/>
        <c:smooth val="0"/>
        <c:axId val="1394392480"/>
        <c:axId val="1394387904"/>
      </c:lineChart>
      <c:catAx>
        <c:axId val="139439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4387904"/>
        <c:crosses val="autoZero"/>
        <c:auto val="1"/>
        <c:lblAlgn val="ctr"/>
        <c:lblOffset val="100"/>
        <c:noMultiLvlLbl val="0"/>
      </c:catAx>
      <c:valAx>
        <c:axId val="1394387904"/>
        <c:scaling>
          <c:orientation val="minMax"/>
        </c:scaling>
        <c:delete val="1"/>
        <c:axPos val="l"/>
        <c:numFmt formatCode="#,##0_);\(#,##0\)" sourceLinked="1"/>
        <c:majorTickMark val="none"/>
        <c:minorTickMark val="none"/>
        <c:tickLblPos val="nextTo"/>
        <c:crossAx val="139439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649522</xdr:colOff>
      <xdr:row>4</xdr:row>
      <xdr:rowOff>133685</xdr:rowOff>
    </xdr:from>
    <xdr:to>
      <xdr:col>19</xdr:col>
      <xdr:colOff>484089</xdr:colOff>
      <xdr:row>18</xdr:row>
      <xdr:rowOff>61951</xdr:rowOff>
    </xdr:to>
    <xdr:graphicFrame macro="">
      <xdr:nvGraphicFramePr>
        <xdr:cNvPr id="3" name="Chart 2">
          <a:extLst>
            <a:ext uri="{FF2B5EF4-FFF2-40B4-BE49-F238E27FC236}">
              <a16:creationId xmlns:a16="http://schemas.microsoft.com/office/drawing/2014/main" id="{AF373381-5B2F-4948-A468-12199510B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3123</xdr:colOff>
      <xdr:row>18</xdr:row>
      <xdr:rowOff>81781</xdr:rowOff>
    </xdr:from>
    <xdr:to>
      <xdr:col>13</xdr:col>
      <xdr:colOff>385851</xdr:colOff>
      <xdr:row>29</xdr:row>
      <xdr:rowOff>119464</xdr:rowOff>
    </xdr:to>
    <xdr:graphicFrame macro="">
      <xdr:nvGraphicFramePr>
        <xdr:cNvPr id="4" name="Chart 3">
          <a:extLst>
            <a:ext uri="{FF2B5EF4-FFF2-40B4-BE49-F238E27FC236}">
              <a16:creationId xmlns:a16="http://schemas.microsoft.com/office/drawing/2014/main" id="{9F749A5A-4615-4B5F-B5E8-14939EA65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xdr:row>
      <xdr:rowOff>78395</xdr:rowOff>
    </xdr:from>
    <xdr:to>
      <xdr:col>6</xdr:col>
      <xdr:colOff>663441</xdr:colOff>
      <xdr:row>18</xdr:row>
      <xdr:rowOff>39196</xdr:rowOff>
    </xdr:to>
    <xdr:graphicFrame macro="">
      <xdr:nvGraphicFramePr>
        <xdr:cNvPr id="6" name="Chart 5">
          <a:extLst>
            <a:ext uri="{FF2B5EF4-FFF2-40B4-BE49-F238E27FC236}">
              <a16:creationId xmlns:a16="http://schemas.microsoft.com/office/drawing/2014/main" id="{BC4DAC6E-BD41-44F4-B25F-9C2BF0F0E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384727</xdr:colOff>
      <xdr:row>2</xdr:row>
      <xdr:rowOff>26374</xdr:rowOff>
    </xdr:from>
    <xdr:to>
      <xdr:col>19</xdr:col>
      <xdr:colOff>27532</xdr:colOff>
      <xdr:row>4</xdr:row>
      <xdr:rowOff>91908</xdr:rowOff>
    </xdr:to>
    <mc:AlternateContent xmlns:mc="http://schemas.openxmlformats.org/markup-compatibility/2006" xmlns:a14="http://schemas.microsoft.com/office/drawing/2010/main">
      <mc:Choice Requires="a14">
        <xdr:graphicFrame macro="">
          <xdr:nvGraphicFramePr>
            <xdr:cNvPr id="9" name="Bank 2">
              <a:extLst>
                <a:ext uri="{FF2B5EF4-FFF2-40B4-BE49-F238E27FC236}">
                  <a16:creationId xmlns:a16="http://schemas.microsoft.com/office/drawing/2014/main" id="{5B2911D9-E32F-40BE-9E85-08EEFFE77B40}"/>
                </a:ext>
              </a:extLst>
            </xdr:cNvPr>
            <xdr:cNvGraphicFramePr/>
          </xdr:nvGraphicFramePr>
          <xdr:xfrm>
            <a:off x="0" y="0"/>
            <a:ext cx="0" cy="0"/>
          </xdr:xfrm>
          <a:graphic>
            <a:graphicData uri="http://schemas.microsoft.com/office/drawing/2010/slicer">
              <sle:slicer xmlns:sle="http://schemas.microsoft.com/office/drawing/2010/slicer" name="Bank 2"/>
            </a:graphicData>
          </a:graphic>
        </xdr:graphicFrame>
      </mc:Choice>
      <mc:Fallback xmlns="">
        <xdr:sp macro="" textlink="">
          <xdr:nvSpPr>
            <xdr:cNvPr id="0" name=""/>
            <xdr:cNvSpPr>
              <a:spLocks noTextEdit="1"/>
            </xdr:cNvSpPr>
          </xdr:nvSpPr>
          <xdr:spPr>
            <a:xfrm>
              <a:off x="8020406" y="481065"/>
              <a:ext cx="8360336" cy="379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32389</xdr:colOff>
      <xdr:row>4</xdr:row>
      <xdr:rowOff>25561</xdr:rowOff>
    </xdr:from>
    <xdr:to>
      <xdr:col>3</xdr:col>
      <xdr:colOff>316469</xdr:colOff>
      <xdr:row>6</xdr:row>
      <xdr:rowOff>55939</xdr:rowOff>
    </xdr:to>
    <mc:AlternateContent xmlns:mc="http://schemas.openxmlformats.org/markup-compatibility/2006" xmlns:a14="http://schemas.microsoft.com/office/drawing/2010/main">
      <mc:Choice Requires="a14">
        <xdr:graphicFrame macro="">
          <xdr:nvGraphicFramePr>
            <xdr:cNvPr id="10" name="Platform 1">
              <a:extLst>
                <a:ext uri="{FF2B5EF4-FFF2-40B4-BE49-F238E27FC236}">
                  <a16:creationId xmlns:a16="http://schemas.microsoft.com/office/drawing/2014/main" id="{60360FE8-A3A6-4692-BAE8-3BC247CDB402}"/>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32389" y="793833"/>
              <a:ext cx="3984327" cy="3439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23519</xdr:colOff>
      <xdr:row>2</xdr:row>
      <xdr:rowOff>45471</xdr:rowOff>
    </xdr:from>
    <xdr:to>
      <xdr:col>6</xdr:col>
      <xdr:colOff>360069</xdr:colOff>
      <xdr:row>4</xdr:row>
      <xdr:rowOff>96271</xdr:rowOff>
    </xdr:to>
    <mc:AlternateContent xmlns:mc="http://schemas.openxmlformats.org/markup-compatibility/2006" xmlns:a14="http://schemas.microsoft.com/office/drawing/2010/main">
      <mc:Choice Requires="a14">
        <xdr:graphicFrame macro="">
          <xdr:nvGraphicFramePr>
            <xdr:cNvPr id="13" name="Date 2">
              <a:extLst>
                <a:ext uri="{FF2B5EF4-FFF2-40B4-BE49-F238E27FC236}">
                  <a16:creationId xmlns:a16="http://schemas.microsoft.com/office/drawing/2014/main" id="{564C0FDC-D93F-4834-8FD1-57E3A0C728EF}"/>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23519" y="500162"/>
              <a:ext cx="7972229" cy="364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682625</xdr:colOff>
      <xdr:row>9</xdr:row>
      <xdr:rowOff>79375</xdr:rowOff>
    </xdr:from>
    <xdr:to>
      <xdr:col>15</xdr:col>
      <xdr:colOff>203200</xdr:colOff>
      <xdr:row>23</xdr:row>
      <xdr:rowOff>38100</xdr:rowOff>
    </xdr:to>
    <xdr:graphicFrame macro="">
      <xdr:nvGraphicFramePr>
        <xdr:cNvPr id="2" name="Chart 1">
          <a:extLst>
            <a:ext uri="{FF2B5EF4-FFF2-40B4-BE49-F238E27FC236}">
              <a16:creationId xmlns:a16="http://schemas.microsoft.com/office/drawing/2014/main" id="{142232C5-6A23-48CA-B06B-BB47F6F3F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244474</xdr:colOff>
      <xdr:row>6</xdr:row>
      <xdr:rowOff>123825</xdr:rowOff>
    </xdr:from>
    <xdr:to>
      <xdr:col>10</xdr:col>
      <xdr:colOff>622299</xdr:colOff>
      <xdr:row>22</xdr:row>
      <xdr:rowOff>146050</xdr:rowOff>
    </xdr:to>
    <xdr:graphicFrame macro="">
      <xdr:nvGraphicFramePr>
        <xdr:cNvPr id="6" name="Chart 5">
          <a:extLst>
            <a:ext uri="{FF2B5EF4-FFF2-40B4-BE49-F238E27FC236}">
              <a16:creationId xmlns:a16="http://schemas.microsoft.com/office/drawing/2014/main" id="{79464339-E253-47D6-AC0C-1894DEF99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406400</xdr:colOff>
      <xdr:row>4</xdr:row>
      <xdr:rowOff>152400</xdr:rowOff>
    </xdr:from>
    <xdr:to>
      <xdr:col>10</xdr:col>
      <xdr:colOff>355600</xdr:colOff>
      <xdr:row>7</xdr:row>
      <xdr:rowOff>82550</xdr:rowOff>
    </xdr:to>
    <mc:AlternateContent xmlns:mc="http://schemas.openxmlformats.org/markup-compatibility/2006" xmlns:a14="http://schemas.microsoft.com/office/drawing/2010/main">
      <mc:Choice Requires="a14">
        <xdr:graphicFrame macro="">
          <xdr:nvGraphicFramePr>
            <xdr:cNvPr id="8" name="Platform">
              <a:extLst>
                <a:ext uri="{FF2B5EF4-FFF2-40B4-BE49-F238E27FC236}">
                  <a16:creationId xmlns:a16="http://schemas.microsoft.com/office/drawing/2014/main" id="{D3116492-86F1-4E46-A49F-BA5B2966FC36}"/>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5080000" y="787400"/>
              <a:ext cx="3206750" cy="40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88900</xdr:colOff>
      <xdr:row>10</xdr:row>
      <xdr:rowOff>69850</xdr:rowOff>
    </xdr:from>
    <xdr:to>
      <xdr:col>10</xdr:col>
      <xdr:colOff>971550</xdr:colOff>
      <xdr:row>19</xdr:row>
      <xdr:rowOff>12700</xdr:rowOff>
    </xdr:to>
    <mc:AlternateContent xmlns:mc="http://schemas.openxmlformats.org/markup-compatibility/2006" xmlns:tsle="http://schemas.microsoft.com/office/drawing/2012/timeslicer">
      <mc:Choice Requires="tsle">
        <xdr:graphicFrame macro="">
          <xdr:nvGraphicFramePr>
            <xdr:cNvPr id="11" name="Date 1">
              <a:extLst>
                <a:ext uri="{FF2B5EF4-FFF2-40B4-BE49-F238E27FC236}">
                  <a16:creationId xmlns:a16="http://schemas.microsoft.com/office/drawing/2014/main" id="{ABD4441D-3B76-4609-BC96-8DA642EF72E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987800" y="1657350"/>
              <a:ext cx="59499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406400</xdr:colOff>
      <xdr:row>4</xdr:row>
      <xdr:rowOff>152400</xdr:rowOff>
    </xdr:from>
    <xdr:to>
      <xdr:col>16</xdr:col>
      <xdr:colOff>12700</xdr:colOff>
      <xdr:row>7</xdr:row>
      <xdr:rowOff>44450</xdr:rowOff>
    </xdr:to>
    <mc:AlternateContent xmlns:mc="http://schemas.openxmlformats.org/markup-compatibility/2006" xmlns:a14="http://schemas.microsoft.com/office/drawing/2010/main">
      <mc:Choice Requires="a14">
        <xdr:graphicFrame macro="">
          <xdr:nvGraphicFramePr>
            <xdr:cNvPr id="12" name="Date">
              <a:extLst>
                <a:ext uri="{FF2B5EF4-FFF2-40B4-BE49-F238E27FC236}">
                  <a16:creationId xmlns:a16="http://schemas.microsoft.com/office/drawing/2014/main" id="{D1356906-DE60-4E49-BA45-1CDFC7857215}"/>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080000" y="787400"/>
              <a:ext cx="7956550" cy="36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73024</xdr:colOff>
      <xdr:row>21</xdr:row>
      <xdr:rowOff>117475</xdr:rowOff>
    </xdr:from>
    <xdr:to>
      <xdr:col>13</xdr:col>
      <xdr:colOff>342899</xdr:colOff>
      <xdr:row>38</xdr:row>
      <xdr:rowOff>139700</xdr:rowOff>
    </xdr:to>
    <xdr:graphicFrame macro="">
      <xdr:nvGraphicFramePr>
        <xdr:cNvPr id="4" name="Chart 3">
          <a:extLst>
            <a:ext uri="{FF2B5EF4-FFF2-40B4-BE49-F238E27FC236}">
              <a16:creationId xmlns:a16="http://schemas.microsoft.com/office/drawing/2014/main" id="{5E7B44F9-3E84-47E8-9D40-E8BF2968DA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708737</xdr:colOff>
      <xdr:row>24</xdr:row>
      <xdr:rowOff>112745</xdr:rowOff>
    </xdr:from>
    <xdr:to>
      <xdr:col>26</xdr:col>
      <xdr:colOff>589643</xdr:colOff>
      <xdr:row>27</xdr:row>
      <xdr:rowOff>32398</xdr:rowOff>
    </xdr:to>
    <mc:AlternateContent xmlns:mc="http://schemas.openxmlformats.org/markup-compatibility/2006" xmlns:a14="http://schemas.microsoft.com/office/drawing/2010/main">
      <mc:Choice Requires="a14">
        <xdr:graphicFrame macro="">
          <xdr:nvGraphicFramePr>
            <xdr:cNvPr id="6" name="Bank">
              <a:extLst>
                <a:ext uri="{FF2B5EF4-FFF2-40B4-BE49-F238E27FC236}">
                  <a16:creationId xmlns:a16="http://schemas.microsoft.com/office/drawing/2014/main" id="{E22A972C-D241-463F-9754-11D56DC09338}"/>
                </a:ext>
              </a:extLst>
            </xdr:cNvPr>
            <xdr:cNvGraphicFramePr/>
          </xdr:nvGraphicFramePr>
          <xdr:xfrm>
            <a:off x="0" y="0"/>
            <a:ext cx="0" cy="0"/>
          </xdr:xfrm>
          <a:graphic>
            <a:graphicData uri="http://schemas.microsoft.com/office/drawing/2010/slicer">
              <sle:slicer xmlns:sle="http://schemas.microsoft.com/office/drawing/2010/slicer" name="Bank"/>
            </a:graphicData>
          </a:graphic>
        </xdr:graphicFrame>
      </mc:Choice>
      <mc:Fallback xmlns="">
        <xdr:sp macro="" textlink="">
          <xdr:nvSpPr>
            <xdr:cNvPr id="0" name=""/>
            <xdr:cNvSpPr>
              <a:spLocks noTextEdit="1"/>
            </xdr:cNvSpPr>
          </xdr:nvSpPr>
          <xdr:spPr>
            <a:xfrm>
              <a:off x="8769349" y="4000500"/>
              <a:ext cx="12211569" cy="405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535215</xdr:colOff>
      <xdr:row>4</xdr:row>
      <xdr:rowOff>141903</xdr:rowOff>
    </xdr:from>
    <xdr:to>
      <xdr:col>7</xdr:col>
      <xdr:colOff>71275</xdr:colOff>
      <xdr:row>19</xdr:row>
      <xdr:rowOff>129592</xdr:rowOff>
    </xdr:to>
    <mc:AlternateContent xmlns:mc="http://schemas.openxmlformats.org/markup-compatibility/2006" xmlns:a14="http://schemas.microsoft.com/office/drawing/2010/main">
      <mc:Choice Requires="a14">
        <xdr:graphicFrame macro="">
          <xdr:nvGraphicFramePr>
            <xdr:cNvPr id="7" name="Bank 1">
              <a:extLst>
                <a:ext uri="{FF2B5EF4-FFF2-40B4-BE49-F238E27FC236}">
                  <a16:creationId xmlns:a16="http://schemas.microsoft.com/office/drawing/2014/main" id="{DD09294B-6D6E-44EC-BB70-A2431E6E2C74}"/>
                </a:ext>
              </a:extLst>
            </xdr:cNvPr>
            <xdr:cNvGraphicFramePr/>
          </xdr:nvGraphicFramePr>
          <xdr:xfrm>
            <a:off x="0" y="0"/>
            <a:ext cx="0" cy="0"/>
          </xdr:xfrm>
          <a:graphic>
            <a:graphicData uri="http://schemas.microsoft.com/office/drawing/2010/slicer">
              <sle:slicer xmlns:sle="http://schemas.microsoft.com/office/drawing/2010/slicer" name="Bank 1"/>
            </a:graphicData>
          </a:graphic>
        </xdr:graphicFrame>
      </mc:Choice>
      <mc:Fallback xmlns="">
        <xdr:sp macro="" textlink="">
          <xdr:nvSpPr>
            <xdr:cNvPr id="0" name=""/>
            <xdr:cNvSpPr>
              <a:spLocks noTextEdit="1"/>
            </xdr:cNvSpPr>
          </xdr:nvSpPr>
          <xdr:spPr>
            <a:xfrm>
              <a:off x="4098991" y="789862"/>
              <a:ext cx="1777999" cy="2417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o, Likhitha" refreshedDate="44914.181490509261" createdVersion="7" refreshedVersion="7" minRefreshableVersion="3" recordCount="1117" xr:uid="{264762AE-A013-49E6-805D-7053D8E9E0E5}">
  <cacheSource type="worksheet">
    <worksheetSource name="Table1"/>
  </cacheSource>
  <cacheFields count="6">
    <cacheField name="Platform" numFmtId="0">
      <sharedItems count="4">
        <s v="Facebook"/>
        <s v="LinkedIn"/>
        <s v="Twitter"/>
        <s v="Instagram"/>
      </sharedItems>
    </cacheField>
    <cacheField name="Bank" numFmtId="0">
      <sharedItems count="11">
        <s v="Bank of America"/>
        <s v="Capital One"/>
        <s v="Chase"/>
        <s v="Citi"/>
        <s v="Wells Fargo"/>
        <s v="PNC"/>
        <s v="SunTrust"/>
        <s v="US Bank"/>
        <s v="Truist"/>
        <s v="Sun Trust " u="1"/>
        <s v="SunTrust " u="1"/>
      </sharedItems>
    </cacheField>
    <cacheField name="Account" numFmtId="0">
      <sharedItems count="79">
        <s v="Bank of America"/>
        <s v="Capital One"/>
        <s v="Capital One Café"/>
        <s v="Capital One Careers"/>
        <s v="CapitalOne Business"/>
        <s v="Chase"/>
        <s v="JPMorgan Chase &amp; Co."/>
        <s v="United MileagePlus Cards by Chase"/>
        <s v="Citi"/>
        <s v="Citibank US"/>
        <s v="Citi Careers"/>
        <s v="Wells Fargo"/>
        <s v="Wells Fargo Advisor"/>
        <s v="Wells Fargo Home Mortgage"/>
        <s v="PNC"/>
        <s v="SunTrust"/>
        <s v="U.S. Bank"/>
        <s v="Bank of America Merrill Lynch"/>
        <s v="Bank of America Business "/>
        <s v="Merrill Lynch"/>
        <s v="Merrill Edge "/>
        <s v="Capital One Business"/>
        <s v="Chase for Business "/>
        <s v="Citigold"/>
        <s v="Citi Private Bank"/>
        <s v="Wells Fargo Advisors"/>
        <s v="Wells Fargo Asset Management "/>
        <s v="PNC Business Banking "/>
        <s v="PNC Investments"/>
        <s v="PNC Ideas for your Company"/>
        <s v="PNC Institutional Asset Management"/>
        <s v="PNC Wealth Management "/>
        <s v="SunTrust Robinson Humphrey"/>
        <s v="SunTrust Investment Services, Inc."/>
        <s v="Sun Trust Small Businesses"/>
        <s v="Sun Trust Commercial Real Estate"/>
        <s v="U.S. Bancorp Investments, Inc."/>
        <s v="U.S. Bank Corporate payment Sytems"/>
        <s v="U.S. Bank investment Services "/>
        <s v="U.S . Bank Global Fund Services - Europe "/>
        <s v="U.S. Bank Corporate and Commercial Banking "/>
        <s v="Bank of America News"/>
        <s v="Bank of America Help"/>
        <s v="Bank of America Business Insights"/>
        <s v="Bank of America Tips"/>
        <s v="Bank of America Private Bank"/>
        <s v="Ask Capital One"/>
        <s v="Capital One Tech"/>
        <s v="Capital One Stories"/>
        <s v="CapitalOneBiz"/>
        <s v="Chase for business"/>
        <s v="Chase Support "/>
        <s v="Ask Citi"/>
        <s v="Citibank"/>
        <s v="Ask Wells Fargo"/>
        <s v="Wells Fargo Careers"/>
        <s v="Wells Fargo Wealth &amp; Investment Management"/>
        <s v="Wells Fargo AssetMgt"/>
        <s v="PNC Bank"/>
        <s v="PNC Bank Help"/>
        <s v="PNC News"/>
        <s v="Ask SunTrust"/>
        <s v="US Bank"/>
        <s v="Ask US Bank"/>
        <s v=" us bank payments"/>
        <s v="bankofamerica"/>
        <s v="capitalone"/>
        <s v="capitalonecareers"/>
        <s v="capitalonecafe "/>
        <s v="capitalonebusiness"/>
        <s v="Wellsfargo"/>
        <s v="usbank"/>
        <s v="Truist"/>
        <s v="Sun Trust Small Business"/>
        <s v="TruistNews"/>
        <s v="Truist Securities"/>
        <s v="Truist Commercial, Corporate &amp; Institutional"/>
        <s v="Truist Wealth"/>
        <s v="Truist Insurance Holdings,Inc"/>
      </sharedItems>
    </cacheField>
    <cacheField name="Date" numFmtId="17">
      <sharedItems containsSemiMixedTypes="0" containsNonDate="0" containsDate="1" containsString="0" minDate="2022-01-28T00:00:00" maxDate="2022-12-28T00:00:00" count="23">
        <d v="2022-01-28T00:00:00"/>
        <d v="2022-02-25T00:00:00"/>
        <d v="2022-03-25T00:00:00"/>
        <d v="2022-04-28T00:00:00"/>
        <d v="2022-05-27T00:00:00"/>
        <d v="2022-06-27T00:00:00"/>
        <d v="2022-07-29T00:00:00"/>
        <d v="2022-08-29T00:00:00"/>
        <d v="2022-09-30T00:00:00"/>
        <d v="2022-10-28T00:00:00"/>
        <d v="2022-11-28T00:00:00"/>
        <d v="2022-12-19T00:00:00"/>
        <d v="2022-09-27T00:00:00" u="1"/>
        <d v="2022-12-23T00:00:00" u="1"/>
        <d v="2022-07-22T00:00:00" u="1"/>
        <d v="2022-08-27T00:00:00" u="1"/>
        <d v="2022-07-27T00:00:00" u="1"/>
        <d v="2022-10-26T00:00:00" u="1"/>
        <d v="2022-08-26T00:00:00" u="1"/>
        <d v="2022-12-27T00:00:00" u="1"/>
        <d v="2022-11-27T00:00:00" u="1"/>
        <d v="2022-10-27T00:00:00" u="1"/>
        <d v="2022-11-25T00:00:00" u="1"/>
      </sharedItems>
      <fieldGroup par="5"/>
    </cacheField>
    <cacheField name="Followers" numFmtId="3">
      <sharedItems containsBlank="1" containsMixedTypes="1" containsNumber="1" containsInteger="1" minValue="743" maxValue="3952818"/>
    </cacheField>
    <cacheField name="Date2" numFmtId="0" databaseField="0">
      <fieldGroup base="3">
        <discretePr count="23">
          <x v="0"/>
          <x v="0"/>
          <x v="0"/>
          <x v="0"/>
          <x v="0"/>
          <x v="0"/>
          <x v="12"/>
          <x v="13"/>
          <x v="14"/>
          <x v="15"/>
          <x v="16"/>
          <x v="17"/>
          <x v="4"/>
          <x v="7"/>
          <x v="1"/>
          <x v="8"/>
          <x v="2"/>
          <x v="5"/>
          <x v="3"/>
          <x v="11"/>
          <x v="10"/>
          <x v="9"/>
          <x v="6"/>
        </discretePr>
        <groupItems count="18">
          <s v="Group1"/>
          <d v="2022-07-22T00:00:00"/>
          <d v="2022-07-27T00:00:00"/>
          <d v="2022-08-26T00:00:00"/>
          <d v="2022-09-27T00:00:00"/>
          <d v="2022-10-26T00:00:00"/>
          <d v="2022-11-25T00:00:00"/>
          <d v="2022-12-23T00:00:00"/>
          <d v="2022-08-27T00:00:00"/>
          <d v="2022-10-27T00:00:00"/>
          <d v="2022-11-27T00:00:00"/>
          <d v="2022-12-27T00:00:00"/>
          <d v="2022-07-29T00:00:00"/>
          <d v="2022-08-29T00:00:00"/>
          <d v="2022-09-30T00:00:00"/>
          <d v="2022-10-28T00:00:00"/>
          <d v="2022-11-28T00:00:00"/>
          <d v="2022-12-19T00:00:00"/>
        </groupItems>
      </fieldGroup>
    </cacheField>
  </cacheFields>
  <extLst>
    <ext xmlns:x14="http://schemas.microsoft.com/office/spreadsheetml/2009/9/main" uri="{725AE2AE-9491-48be-B2B4-4EB974FC3084}">
      <x14:pivotCacheDefinition pivotCacheId="11667590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7">
  <r>
    <x v="0"/>
    <x v="0"/>
    <x v="0"/>
    <x v="0"/>
    <n v="2779295"/>
  </r>
  <r>
    <x v="0"/>
    <x v="1"/>
    <x v="1"/>
    <x v="0"/>
    <n v="3952818"/>
  </r>
  <r>
    <x v="0"/>
    <x v="1"/>
    <x v="2"/>
    <x v="0"/>
    <n v="96736"/>
  </r>
  <r>
    <x v="0"/>
    <x v="1"/>
    <x v="3"/>
    <x v="0"/>
    <n v="14777"/>
  </r>
  <r>
    <x v="0"/>
    <x v="1"/>
    <x v="4"/>
    <x v="0"/>
    <n v="160008"/>
  </r>
  <r>
    <x v="0"/>
    <x v="2"/>
    <x v="5"/>
    <x v="0"/>
    <n v="3702495"/>
  </r>
  <r>
    <x v="0"/>
    <x v="2"/>
    <x v="6"/>
    <x v="0"/>
    <n v="400833"/>
  </r>
  <r>
    <x v="0"/>
    <x v="2"/>
    <x v="7"/>
    <x v="0"/>
    <n v="212458"/>
  </r>
  <r>
    <x v="0"/>
    <x v="3"/>
    <x v="8"/>
    <x v="0"/>
    <n v="1201072"/>
  </r>
  <r>
    <x v="0"/>
    <x v="3"/>
    <x v="9"/>
    <x v="0"/>
    <n v="1144626"/>
  </r>
  <r>
    <x v="0"/>
    <x v="3"/>
    <x v="10"/>
    <x v="0"/>
    <n v="215149"/>
  </r>
  <r>
    <x v="0"/>
    <x v="4"/>
    <x v="11"/>
    <x v="0"/>
    <n v="1141858"/>
  </r>
  <r>
    <x v="0"/>
    <x v="4"/>
    <x v="12"/>
    <x v="0"/>
    <n v="192513"/>
  </r>
  <r>
    <x v="0"/>
    <x v="4"/>
    <x v="13"/>
    <x v="0"/>
    <n v="1053"/>
  </r>
  <r>
    <x v="0"/>
    <x v="5"/>
    <x v="14"/>
    <x v="0"/>
    <n v="339417"/>
  </r>
  <r>
    <x v="0"/>
    <x v="6"/>
    <x v="15"/>
    <x v="0"/>
    <n v="125124"/>
  </r>
  <r>
    <x v="0"/>
    <x v="7"/>
    <x v="16"/>
    <x v="0"/>
    <n v="326864"/>
  </r>
  <r>
    <x v="1"/>
    <x v="0"/>
    <x v="0"/>
    <x v="0"/>
    <n v="2028349"/>
  </r>
  <r>
    <x v="1"/>
    <x v="0"/>
    <x v="17"/>
    <x v="0"/>
    <n v="336752"/>
  </r>
  <r>
    <x v="1"/>
    <x v="0"/>
    <x v="18"/>
    <x v="0"/>
    <n v="290536"/>
  </r>
  <r>
    <x v="1"/>
    <x v="0"/>
    <x v="19"/>
    <x v="0"/>
    <n v="625182"/>
  </r>
  <r>
    <x v="1"/>
    <x v="0"/>
    <x v="20"/>
    <x v="0"/>
    <n v="18826"/>
  </r>
  <r>
    <x v="1"/>
    <x v="1"/>
    <x v="1"/>
    <x v="0"/>
    <n v="532002"/>
  </r>
  <r>
    <x v="1"/>
    <x v="1"/>
    <x v="21"/>
    <x v="0"/>
    <n v="28843"/>
  </r>
  <r>
    <x v="1"/>
    <x v="2"/>
    <x v="5"/>
    <x v="0"/>
    <n v="336631"/>
  </r>
  <r>
    <x v="1"/>
    <x v="2"/>
    <x v="6"/>
    <x v="0"/>
    <n v="2892753"/>
  </r>
  <r>
    <x v="1"/>
    <x v="2"/>
    <x v="22"/>
    <x v="0"/>
    <n v="36843"/>
  </r>
  <r>
    <x v="1"/>
    <x v="3"/>
    <x v="8"/>
    <x v="0"/>
    <n v="3540466"/>
  </r>
  <r>
    <x v="1"/>
    <x v="3"/>
    <x v="23"/>
    <x v="0"/>
    <n v="12941"/>
  </r>
  <r>
    <x v="1"/>
    <x v="3"/>
    <x v="24"/>
    <x v="0"/>
    <n v="44257"/>
  </r>
  <r>
    <x v="1"/>
    <x v="4"/>
    <x v="11"/>
    <x v="0"/>
    <n v="1734700"/>
  </r>
  <r>
    <x v="1"/>
    <x v="4"/>
    <x v="25"/>
    <x v="0"/>
    <n v="94341"/>
  </r>
  <r>
    <x v="1"/>
    <x v="4"/>
    <x v="26"/>
    <x v="0"/>
    <s v="NA"/>
  </r>
  <r>
    <x v="1"/>
    <x v="5"/>
    <x v="14"/>
    <x v="0"/>
    <n v="225034"/>
  </r>
  <r>
    <x v="1"/>
    <x v="5"/>
    <x v="27"/>
    <x v="0"/>
    <n v="13128"/>
  </r>
  <r>
    <x v="1"/>
    <x v="5"/>
    <x v="28"/>
    <x v="0"/>
    <s v="NA"/>
  </r>
  <r>
    <x v="1"/>
    <x v="5"/>
    <x v="29"/>
    <x v="0"/>
    <n v="6831"/>
  </r>
  <r>
    <x v="1"/>
    <x v="5"/>
    <x v="30"/>
    <x v="0"/>
    <n v="6626"/>
  </r>
  <r>
    <x v="1"/>
    <x v="5"/>
    <x v="31"/>
    <x v="0"/>
    <s v="NA"/>
  </r>
  <r>
    <x v="1"/>
    <x v="6"/>
    <x v="15"/>
    <x v="0"/>
    <s v="121,250 "/>
  </r>
  <r>
    <x v="1"/>
    <x v="6"/>
    <x v="32"/>
    <x v="0"/>
    <n v="12054"/>
  </r>
  <r>
    <x v="1"/>
    <x v="6"/>
    <x v="33"/>
    <x v="0"/>
    <n v="5129"/>
  </r>
  <r>
    <x v="1"/>
    <x v="6"/>
    <x v="34"/>
    <x v="0"/>
    <n v="929"/>
  </r>
  <r>
    <x v="1"/>
    <x v="6"/>
    <x v="35"/>
    <x v="0"/>
    <n v="2958"/>
  </r>
  <r>
    <x v="1"/>
    <x v="7"/>
    <x v="16"/>
    <x v="0"/>
    <n v="346569"/>
  </r>
  <r>
    <x v="1"/>
    <x v="7"/>
    <x v="36"/>
    <x v="0"/>
    <n v="4625"/>
  </r>
  <r>
    <x v="1"/>
    <x v="7"/>
    <x v="37"/>
    <x v="0"/>
    <n v="7471"/>
  </r>
  <r>
    <x v="1"/>
    <x v="7"/>
    <x v="38"/>
    <x v="0"/>
    <n v="3345"/>
  </r>
  <r>
    <x v="1"/>
    <x v="7"/>
    <x v="39"/>
    <x v="0"/>
    <n v="743"/>
  </r>
  <r>
    <x v="1"/>
    <x v="7"/>
    <x v="40"/>
    <x v="0"/>
    <n v="9236"/>
  </r>
  <r>
    <x v="2"/>
    <x v="0"/>
    <x v="0"/>
    <x v="0"/>
    <n v="715900"/>
  </r>
  <r>
    <x v="2"/>
    <x v="0"/>
    <x v="41"/>
    <x v="0"/>
    <n v="467600"/>
  </r>
  <r>
    <x v="2"/>
    <x v="0"/>
    <x v="42"/>
    <x v="0"/>
    <n v="128200"/>
  </r>
  <r>
    <x v="2"/>
    <x v="0"/>
    <x v="43"/>
    <x v="0"/>
    <n v="135200"/>
  </r>
  <r>
    <x v="2"/>
    <x v="0"/>
    <x v="44"/>
    <x v="0"/>
    <n v="158300"/>
  </r>
  <r>
    <x v="2"/>
    <x v="0"/>
    <x v="45"/>
    <x v="0"/>
    <n v="17100"/>
  </r>
  <r>
    <x v="2"/>
    <x v="1"/>
    <x v="1"/>
    <x v="0"/>
    <n v="202700"/>
  </r>
  <r>
    <x v="2"/>
    <x v="1"/>
    <x v="46"/>
    <x v="0"/>
    <n v="115900"/>
  </r>
  <r>
    <x v="2"/>
    <x v="1"/>
    <x v="2"/>
    <x v="0"/>
    <n v="47900"/>
  </r>
  <r>
    <x v="2"/>
    <x v="1"/>
    <x v="3"/>
    <x v="0"/>
    <n v="3342"/>
  </r>
  <r>
    <x v="2"/>
    <x v="1"/>
    <x v="47"/>
    <x v="0"/>
    <n v="6912"/>
  </r>
  <r>
    <x v="2"/>
    <x v="1"/>
    <x v="48"/>
    <x v="0"/>
    <n v="6995"/>
  </r>
  <r>
    <x v="2"/>
    <x v="1"/>
    <x v="49"/>
    <x v="0"/>
    <n v="39500"/>
  </r>
  <r>
    <x v="2"/>
    <x v="2"/>
    <x v="5"/>
    <x v="0"/>
    <n v="391800"/>
  </r>
  <r>
    <x v="2"/>
    <x v="2"/>
    <x v="50"/>
    <x v="0"/>
    <n v="184800"/>
  </r>
  <r>
    <x v="2"/>
    <x v="2"/>
    <x v="51"/>
    <x v="0"/>
    <n v="141100"/>
  </r>
  <r>
    <x v="2"/>
    <x v="3"/>
    <x v="8"/>
    <x v="0"/>
    <n v="909400"/>
  </r>
  <r>
    <x v="2"/>
    <x v="3"/>
    <x v="52"/>
    <x v="0"/>
    <n v="38000"/>
  </r>
  <r>
    <x v="2"/>
    <x v="3"/>
    <x v="53"/>
    <x v="0"/>
    <n v="411900"/>
  </r>
  <r>
    <x v="2"/>
    <x v="4"/>
    <x v="11"/>
    <x v="0"/>
    <n v="332500"/>
  </r>
  <r>
    <x v="2"/>
    <x v="4"/>
    <x v="54"/>
    <x v="0"/>
    <n v="69100"/>
  </r>
  <r>
    <x v="2"/>
    <x v="4"/>
    <x v="55"/>
    <x v="0"/>
    <s v="NA"/>
  </r>
  <r>
    <x v="2"/>
    <x v="4"/>
    <x v="56"/>
    <x v="0"/>
    <n v="21900"/>
  </r>
  <r>
    <x v="2"/>
    <x v="4"/>
    <x v="57"/>
    <x v="0"/>
    <s v="NA"/>
  </r>
  <r>
    <x v="2"/>
    <x v="5"/>
    <x v="58"/>
    <x v="0"/>
    <n v="37500"/>
  </r>
  <r>
    <x v="2"/>
    <x v="5"/>
    <x v="59"/>
    <x v="0"/>
    <n v="43500"/>
  </r>
  <r>
    <x v="2"/>
    <x v="5"/>
    <x v="60"/>
    <x v="0"/>
    <n v="26300"/>
  </r>
  <r>
    <x v="2"/>
    <x v="6"/>
    <x v="15"/>
    <x v="0"/>
    <n v="24300"/>
  </r>
  <r>
    <x v="2"/>
    <x v="6"/>
    <x v="61"/>
    <x v="0"/>
    <n v="12500"/>
  </r>
  <r>
    <x v="2"/>
    <x v="7"/>
    <x v="62"/>
    <x v="0"/>
    <n v="43700"/>
  </r>
  <r>
    <x v="2"/>
    <x v="7"/>
    <x v="63"/>
    <x v="0"/>
    <n v="12700"/>
  </r>
  <r>
    <x v="2"/>
    <x v="7"/>
    <x v="64"/>
    <x v="0"/>
    <n v="972"/>
  </r>
  <r>
    <x v="3"/>
    <x v="0"/>
    <x v="65"/>
    <x v="0"/>
    <n v="18500"/>
  </r>
  <r>
    <x v="3"/>
    <x v="1"/>
    <x v="66"/>
    <x v="0"/>
    <n v="98500"/>
  </r>
  <r>
    <x v="3"/>
    <x v="1"/>
    <x v="67"/>
    <x v="0"/>
    <n v="6440"/>
  </r>
  <r>
    <x v="3"/>
    <x v="1"/>
    <x v="68"/>
    <x v="0"/>
    <n v="7685"/>
  </r>
  <r>
    <x v="3"/>
    <x v="1"/>
    <x v="69"/>
    <x v="0"/>
    <n v="13600"/>
  </r>
  <r>
    <x v="3"/>
    <x v="2"/>
    <x v="5"/>
    <x v="0"/>
    <n v="21700"/>
  </r>
  <r>
    <x v="3"/>
    <x v="3"/>
    <x v="53"/>
    <x v="0"/>
    <n v="77400"/>
  </r>
  <r>
    <x v="3"/>
    <x v="3"/>
    <x v="8"/>
    <x v="0"/>
    <n v="79100"/>
  </r>
  <r>
    <x v="3"/>
    <x v="4"/>
    <x v="70"/>
    <x v="0"/>
    <n v="11000"/>
  </r>
  <r>
    <x v="3"/>
    <x v="5"/>
    <x v="14"/>
    <x v="0"/>
    <n v="21800"/>
  </r>
  <r>
    <x v="3"/>
    <x v="6"/>
    <x v="15"/>
    <x v="0"/>
    <n v="13100"/>
  </r>
  <r>
    <x v="3"/>
    <x v="7"/>
    <x v="71"/>
    <x v="0"/>
    <n v="29200"/>
  </r>
  <r>
    <x v="0"/>
    <x v="0"/>
    <x v="0"/>
    <x v="1"/>
    <n v="2778738"/>
  </r>
  <r>
    <x v="0"/>
    <x v="1"/>
    <x v="1"/>
    <x v="1"/>
    <n v="3950941"/>
  </r>
  <r>
    <x v="0"/>
    <x v="1"/>
    <x v="2"/>
    <x v="1"/>
    <n v="96726"/>
  </r>
  <r>
    <x v="0"/>
    <x v="1"/>
    <x v="3"/>
    <x v="1"/>
    <n v="14799"/>
  </r>
  <r>
    <x v="0"/>
    <x v="1"/>
    <x v="4"/>
    <x v="1"/>
    <n v="159863"/>
  </r>
  <r>
    <x v="0"/>
    <x v="2"/>
    <x v="5"/>
    <x v="1"/>
    <n v="3700796"/>
  </r>
  <r>
    <x v="0"/>
    <x v="2"/>
    <x v="6"/>
    <x v="1"/>
    <n v="402700"/>
  </r>
  <r>
    <x v="0"/>
    <x v="2"/>
    <x v="7"/>
    <x v="1"/>
    <n v="212284"/>
  </r>
  <r>
    <x v="0"/>
    <x v="3"/>
    <x v="8"/>
    <x v="1"/>
    <n v="1200821"/>
  </r>
  <r>
    <x v="0"/>
    <x v="3"/>
    <x v="9"/>
    <x v="1"/>
    <n v="1144064"/>
  </r>
  <r>
    <x v="0"/>
    <x v="3"/>
    <x v="10"/>
    <x v="1"/>
    <n v="215186"/>
  </r>
  <r>
    <x v="0"/>
    <x v="4"/>
    <x v="11"/>
    <x v="1"/>
    <n v="1143100"/>
  </r>
  <r>
    <x v="0"/>
    <x v="4"/>
    <x v="12"/>
    <x v="1"/>
    <n v="192329"/>
  </r>
  <r>
    <x v="0"/>
    <x v="4"/>
    <x v="13"/>
    <x v="1"/>
    <n v="1053"/>
  </r>
  <r>
    <x v="0"/>
    <x v="5"/>
    <x v="14"/>
    <x v="1"/>
    <n v="339697"/>
  </r>
  <r>
    <x v="0"/>
    <x v="6"/>
    <x v="15"/>
    <x v="1"/>
    <n v="125124"/>
  </r>
  <r>
    <x v="0"/>
    <x v="7"/>
    <x v="16"/>
    <x v="1"/>
    <n v="326976"/>
  </r>
  <r>
    <x v="1"/>
    <x v="0"/>
    <x v="0"/>
    <x v="1"/>
    <n v="2058767"/>
  </r>
  <r>
    <x v="1"/>
    <x v="0"/>
    <x v="17"/>
    <x v="1"/>
    <n v="338145"/>
  </r>
  <r>
    <x v="1"/>
    <x v="0"/>
    <x v="18"/>
    <x v="1"/>
    <n v="291985"/>
  </r>
  <r>
    <x v="1"/>
    <x v="0"/>
    <x v="19"/>
    <x v="1"/>
    <n v="628422"/>
  </r>
  <r>
    <x v="1"/>
    <x v="0"/>
    <x v="20"/>
    <x v="1"/>
    <n v="19074"/>
  </r>
  <r>
    <x v="1"/>
    <x v="1"/>
    <x v="1"/>
    <x v="1"/>
    <n v="536978"/>
  </r>
  <r>
    <x v="1"/>
    <x v="1"/>
    <x v="21"/>
    <x v="1"/>
    <n v="29107"/>
  </r>
  <r>
    <x v="1"/>
    <x v="2"/>
    <x v="5"/>
    <x v="1"/>
    <n v="340831"/>
  </r>
  <r>
    <x v="1"/>
    <x v="2"/>
    <x v="6"/>
    <x v="1"/>
    <n v="2935264"/>
  </r>
  <r>
    <x v="1"/>
    <x v="2"/>
    <x v="22"/>
    <x v="1"/>
    <n v="36886"/>
  </r>
  <r>
    <x v="1"/>
    <x v="3"/>
    <x v="8"/>
    <x v="1"/>
    <n v="3578795"/>
  </r>
  <r>
    <x v="1"/>
    <x v="3"/>
    <x v="23"/>
    <x v="1"/>
    <n v="13149"/>
  </r>
  <r>
    <x v="1"/>
    <x v="3"/>
    <x v="24"/>
    <x v="1"/>
    <n v="45995"/>
  </r>
  <r>
    <x v="1"/>
    <x v="4"/>
    <x v="11"/>
    <x v="1"/>
    <n v="1759138"/>
  </r>
  <r>
    <x v="1"/>
    <x v="4"/>
    <x v="25"/>
    <x v="1"/>
    <n v="95545"/>
  </r>
  <r>
    <x v="1"/>
    <x v="4"/>
    <x v="26"/>
    <x v="1"/>
    <s v="NA"/>
  </r>
  <r>
    <x v="1"/>
    <x v="5"/>
    <x v="14"/>
    <x v="1"/>
    <n v="227360"/>
  </r>
  <r>
    <x v="1"/>
    <x v="5"/>
    <x v="27"/>
    <x v="1"/>
    <n v="13235"/>
  </r>
  <r>
    <x v="1"/>
    <x v="5"/>
    <x v="28"/>
    <x v="1"/>
    <s v="NA"/>
  </r>
  <r>
    <x v="1"/>
    <x v="5"/>
    <x v="29"/>
    <x v="1"/>
    <n v="6930"/>
  </r>
  <r>
    <x v="1"/>
    <x v="5"/>
    <x v="30"/>
    <x v="1"/>
    <n v="6856"/>
  </r>
  <r>
    <x v="1"/>
    <x v="5"/>
    <x v="31"/>
    <x v="1"/>
    <s v="NA"/>
  </r>
  <r>
    <x v="1"/>
    <x v="6"/>
    <x v="15"/>
    <x v="1"/>
    <n v="121134"/>
  </r>
  <r>
    <x v="1"/>
    <x v="6"/>
    <x v="32"/>
    <x v="1"/>
    <n v="12049"/>
  </r>
  <r>
    <x v="1"/>
    <x v="6"/>
    <x v="33"/>
    <x v="1"/>
    <n v="5121"/>
  </r>
  <r>
    <x v="1"/>
    <x v="6"/>
    <x v="34"/>
    <x v="1"/>
    <n v="924"/>
  </r>
  <r>
    <x v="1"/>
    <x v="6"/>
    <x v="35"/>
    <x v="1"/>
    <s v="NA"/>
  </r>
  <r>
    <x v="1"/>
    <x v="7"/>
    <x v="16"/>
    <x v="1"/>
    <n v="351513"/>
  </r>
  <r>
    <x v="1"/>
    <x v="7"/>
    <x v="36"/>
    <x v="1"/>
    <s v="NA"/>
  </r>
  <r>
    <x v="1"/>
    <x v="7"/>
    <x v="37"/>
    <x v="1"/>
    <s v="NA"/>
  </r>
  <r>
    <x v="1"/>
    <x v="7"/>
    <x v="38"/>
    <x v="1"/>
    <s v="NA"/>
  </r>
  <r>
    <x v="1"/>
    <x v="7"/>
    <x v="39"/>
    <x v="1"/>
    <s v="NA"/>
  </r>
  <r>
    <x v="1"/>
    <x v="7"/>
    <x v="40"/>
    <x v="1"/>
    <s v="NA"/>
  </r>
  <r>
    <x v="2"/>
    <x v="0"/>
    <x v="0"/>
    <x v="1"/>
    <n v="747500"/>
  </r>
  <r>
    <x v="2"/>
    <x v="0"/>
    <x v="41"/>
    <x v="1"/>
    <n v="501500"/>
  </r>
  <r>
    <x v="2"/>
    <x v="0"/>
    <x v="42"/>
    <x v="1"/>
    <n v="129100"/>
  </r>
  <r>
    <x v="2"/>
    <x v="0"/>
    <x v="43"/>
    <x v="1"/>
    <n v="135600"/>
  </r>
  <r>
    <x v="2"/>
    <x v="0"/>
    <x v="44"/>
    <x v="1"/>
    <n v="158100"/>
  </r>
  <r>
    <x v="2"/>
    <x v="0"/>
    <x v="45"/>
    <x v="1"/>
    <n v="17200"/>
  </r>
  <r>
    <x v="2"/>
    <x v="1"/>
    <x v="1"/>
    <x v="1"/>
    <n v="203400"/>
  </r>
  <r>
    <x v="2"/>
    <x v="1"/>
    <x v="46"/>
    <x v="1"/>
    <n v="116100"/>
  </r>
  <r>
    <x v="2"/>
    <x v="1"/>
    <x v="2"/>
    <x v="1"/>
    <n v="47800"/>
  </r>
  <r>
    <x v="2"/>
    <x v="1"/>
    <x v="3"/>
    <x v="1"/>
    <n v="3345"/>
  </r>
  <r>
    <x v="2"/>
    <x v="1"/>
    <x v="47"/>
    <x v="1"/>
    <n v="6911"/>
  </r>
  <r>
    <x v="2"/>
    <x v="1"/>
    <x v="48"/>
    <x v="1"/>
    <n v="6991"/>
  </r>
  <r>
    <x v="2"/>
    <x v="1"/>
    <x v="49"/>
    <x v="1"/>
    <n v="39500"/>
  </r>
  <r>
    <x v="2"/>
    <x v="2"/>
    <x v="5"/>
    <x v="1"/>
    <n v="393100"/>
  </r>
  <r>
    <x v="2"/>
    <x v="2"/>
    <x v="50"/>
    <x v="1"/>
    <n v="184600"/>
  </r>
  <r>
    <x v="2"/>
    <x v="2"/>
    <x v="51"/>
    <x v="1"/>
    <n v="141700"/>
  </r>
  <r>
    <x v="2"/>
    <x v="3"/>
    <x v="8"/>
    <x v="1"/>
    <n v="910700"/>
  </r>
  <r>
    <x v="2"/>
    <x v="3"/>
    <x v="52"/>
    <x v="1"/>
    <n v="38000"/>
  </r>
  <r>
    <x v="2"/>
    <x v="3"/>
    <x v="53"/>
    <x v="1"/>
    <n v="413500"/>
  </r>
  <r>
    <x v="2"/>
    <x v="4"/>
    <x v="11"/>
    <x v="1"/>
    <n v="335400"/>
  </r>
  <r>
    <x v="2"/>
    <x v="4"/>
    <x v="54"/>
    <x v="1"/>
    <n v="69200"/>
  </r>
  <r>
    <x v="2"/>
    <x v="4"/>
    <x v="55"/>
    <x v="1"/>
    <s v="NA"/>
  </r>
  <r>
    <x v="2"/>
    <x v="4"/>
    <x v="56"/>
    <x v="1"/>
    <n v="21900"/>
  </r>
  <r>
    <x v="2"/>
    <x v="4"/>
    <x v="57"/>
    <x v="1"/>
    <s v="NA"/>
  </r>
  <r>
    <x v="2"/>
    <x v="5"/>
    <x v="58"/>
    <x v="1"/>
    <n v="37700"/>
  </r>
  <r>
    <x v="2"/>
    <x v="5"/>
    <x v="59"/>
    <x v="1"/>
    <n v="43900"/>
  </r>
  <r>
    <x v="2"/>
    <x v="5"/>
    <x v="60"/>
    <x v="1"/>
    <n v="26300"/>
  </r>
  <r>
    <x v="2"/>
    <x v="6"/>
    <x v="15"/>
    <x v="1"/>
    <n v="24300"/>
  </r>
  <r>
    <x v="2"/>
    <x v="6"/>
    <x v="61"/>
    <x v="1"/>
    <n v="12500"/>
  </r>
  <r>
    <x v="2"/>
    <x v="7"/>
    <x v="62"/>
    <x v="1"/>
    <n v="43900"/>
  </r>
  <r>
    <x v="2"/>
    <x v="7"/>
    <x v="63"/>
    <x v="1"/>
    <n v="12700"/>
  </r>
  <r>
    <x v="2"/>
    <x v="7"/>
    <x v="64"/>
    <x v="1"/>
    <n v="979"/>
  </r>
  <r>
    <x v="3"/>
    <x v="0"/>
    <x v="65"/>
    <x v="1"/>
    <n v="19000"/>
  </r>
  <r>
    <x v="3"/>
    <x v="1"/>
    <x v="66"/>
    <x v="1"/>
    <n v="10100"/>
  </r>
  <r>
    <x v="3"/>
    <x v="1"/>
    <x v="67"/>
    <x v="1"/>
    <n v="6768"/>
  </r>
  <r>
    <x v="3"/>
    <x v="1"/>
    <x v="68"/>
    <x v="1"/>
    <n v="7784"/>
  </r>
  <r>
    <x v="3"/>
    <x v="1"/>
    <x v="69"/>
    <x v="1"/>
    <n v="14700"/>
  </r>
  <r>
    <x v="3"/>
    <x v="2"/>
    <x v="5"/>
    <x v="1"/>
    <n v="77700"/>
  </r>
  <r>
    <x v="3"/>
    <x v="3"/>
    <x v="53"/>
    <x v="1"/>
    <n v="77400"/>
  </r>
  <r>
    <x v="3"/>
    <x v="3"/>
    <x v="8"/>
    <x v="1"/>
    <n v="82700"/>
  </r>
  <r>
    <x v="3"/>
    <x v="4"/>
    <x v="70"/>
    <x v="1"/>
    <n v="112000"/>
  </r>
  <r>
    <x v="3"/>
    <x v="5"/>
    <x v="14"/>
    <x v="1"/>
    <n v="22800"/>
  </r>
  <r>
    <x v="3"/>
    <x v="6"/>
    <x v="15"/>
    <x v="1"/>
    <n v="13600"/>
  </r>
  <r>
    <x v="3"/>
    <x v="7"/>
    <x v="71"/>
    <x v="1"/>
    <n v="31300"/>
  </r>
  <r>
    <x v="0"/>
    <x v="0"/>
    <x v="0"/>
    <x v="2"/>
    <n v="2778425"/>
  </r>
  <r>
    <x v="0"/>
    <x v="1"/>
    <x v="1"/>
    <x v="2"/>
    <n v="3949311"/>
  </r>
  <r>
    <x v="0"/>
    <x v="1"/>
    <x v="2"/>
    <x v="2"/>
    <n v="96763"/>
  </r>
  <r>
    <x v="0"/>
    <x v="1"/>
    <x v="3"/>
    <x v="2"/>
    <n v="14806"/>
  </r>
  <r>
    <x v="0"/>
    <x v="1"/>
    <x v="4"/>
    <x v="2"/>
    <n v="159843"/>
  </r>
  <r>
    <x v="0"/>
    <x v="2"/>
    <x v="5"/>
    <x v="2"/>
    <n v="3698498"/>
  </r>
  <r>
    <x v="0"/>
    <x v="2"/>
    <x v="6"/>
    <x v="2"/>
    <n v="404063"/>
  </r>
  <r>
    <x v="0"/>
    <x v="2"/>
    <x v="7"/>
    <x v="2"/>
    <n v="212185"/>
  </r>
  <r>
    <x v="0"/>
    <x v="3"/>
    <x v="8"/>
    <x v="2"/>
    <n v="1200549"/>
  </r>
  <r>
    <x v="0"/>
    <x v="3"/>
    <x v="9"/>
    <x v="2"/>
    <n v="1143581"/>
  </r>
  <r>
    <x v="0"/>
    <x v="3"/>
    <x v="10"/>
    <x v="2"/>
    <n v="215224"/>
  </r>
  <r>
    <x v="0"/>
    <x v="4"/>
    <x v="11"/>
    <x v="2"/>
    <n v="1144120"/>
  </r>
  <r>
    <x v="0"/>
    <x v="4"/>
    <x v="12"/>
    <x v="2"/>
    <n v="192214"/>
  </r>
  <r>
    <x v="0"/>
    <x v="4"/>
    <x v="13"/>
    <x v="2"/>
    <n v="1064"/>
  </r>
  <r>
    <x v="0"/>
    <x v="5"/>
    <x v="14"/>
    <x v="2"/>
    <n v="340066"/>
  </r>
  <r>
    <x v="0"/>
    <x v="8"/>
    <x v="72"/>
    <x v="2"/>
    <n v="353505"/>
  </r>
  <r>
    <x v="0"/>
    <x v="7"/>
    <x v="16"/>
    <x v="2"/>
    <n v="327253"/>
  </r>
  <r>
    <x v="1"/>
    <x v="0"/>
    <x v="0"/>
    <x v="2"/>
    <n v="2085093"/>
  </r>
  <r>
    <x v="1"/>
    <x v="0"/>
    <x v="17"/>
    <x v="2"/>
    <n v="339351"/>
  </r>
  <r>
    <x v="1"/>
    <x v="0"/>
    <x v="18"/>
    <x v="2"/>
    <n v="293598"/>
  </r>
  <r>
    <x v="1"/>
    <x v="0"/>
    <x v="19"/>
    <x v="2"/>
    <n v="630788"/>
  </r>
  <r>
    <x v="1"/>
    <x v="0"/>
    <x v="20"/>
    <x v="2"/>
    <n v="19308"/>
  </r>
  <r>
    <x v="1"/>
    <x v="1"/>
    <x v="1"/>
    <x v="2"/>
    <n v="541098"/>
  </r>
  <r>
    <x v="1"/>
    <x v="1"/>
    <x v="21"/>
    <x v="2"/>
    <n v="29348"/>
  </r>
  <r>
    <x v="1"/>
    <x v="2"/>
    <x v="5"/>
    <x v="2"/>
    <n v="344321"/>
  </r>
  <r>
    <x v="1"/>
    <x v="2"/>
    <x v="6"/>
    <x v="2"/>
    <n v="2973222"/>
  </r>
  <r>
    <x v="1"/>
    <x v="2"/>
    <x v="22"/>
    <x v="2"/>
    <n v="36959"/>
  </r>
  <r>
    <x v="1"/>
    <x v="3"/>
    <x v="8"/>
    <x v="2"/>
    <n v="3610229"/>
  </r>
  <r>
    <x v="1"/>
    <x v="3"/>
    <x v="23"/>
    <x v="2"/>
    <n v="13149"/>
  </r>
  <r>
    <x v="1"/>
    <x v="3"/>
    <x v="24"/>
    <x v="2"/>
    <n v="48097"/>
  </r>
  <r>
    <x v="1"/>
    <x v="4"/>
    <x v="11"/>
    <x v="2"/>
    <n v="1780718"/>
  </r>
  <r>
    <x v="1"/>
    <x v="4"/>
    <x v="25"/>
    <x v="2"/>
    <n v="96869"/>
  </r>
  <r>
    <x v="1"/>
    <x v="4"/>
    <x v="26"/>
    <x v="2"/>
    <s v="NA"/>
  </r>
  <r>
    <x v="1"/>
    <x v="5"/>
    <x v="14"/>
    <x v="2"/>
    <n v="229236"/>
  </r>
  <r>
    <x v="1"/>
    <x v="5"/>
    <x v="27"/>
    <x v="2"/>
    <n v="13291"/>
  </r>
  <r>
    <x v="1"/>
    <x v="5"/>
    <x v="28"/>
    <x v="2"/>
    <n v="10745"/>
  </r>
  <r>
    <x v="1"/>
    <x v="5"/>
    <x v="29"/>
    <x v="2"/>
    <n v="7065"/>
  </r>
  <r>
    <x v="1"/>
    <x v="5"/>
    <x v="30"/>
    <x v="2"/>
    <n v="7021"/>
  </r>
  <r>
    <x v="1"/>
    <x v="5"/>
    <x v="31"/>
    <x v="2"/>
    <s v="NA"/>
  </r>
  <r>
    <x v="1"/>
    <x v="6"/>
    <x v="15"/>
    <x v="2"/>
    <n v="121155"/>
  </r>
  <r>
    <x v="1"/>
    <x v="6"/>
    <x v="32"/>
    <x v="2"/>
    <n v="12052"/>
  </r>
  <r>
    <x v="1"/>
    <x v="6"/>
    <x v="33"/>
    <x v="2"/>
    <n v="5121"/>
  </r>
  <r>
    <x v="1"/>
    <x v="6"/>
    <x v="34"/>
    <x v="2"/>
    <n v="923"/>
  </r>
  <r>
    <x v="1"/>
    <x v="6"/>
    <x v="35"/>
    <x v="2"/>
    <s v="NA"/>
  </r>
  <r>
    <x v="1"/>
    <x v="7"/>
    <x v="16"/>
    <x v="2"/>
    <n v="355664"/>
  </r>
  <r>
    <x v="1"/>
    <x v="7"/>
    <x v="36"/>
    <x v="2"/>
    <n v="4838"/>
  </r>
  <r>
    <x v="1"/>
    <x v="7"/>
    <x v="37"/>
    <x v="2"/>
    <n v="7755"/>
  </r>
  <r>
    <x v="1"/>
    <x v="7"/>
    <x v="38"/>
    <x v="2"/>
    <s v="NA"/>
  </r>
  <r>
    <x v="1"/>
    <x v="7"/>
    <x v="39"/>
    <x v="2"/>
    <s v="NA"/>
  </r>
  <r>
    <x v="1"/>
    <x v="7"/>
    <x v="40"/>
    <x v="2"/>
    <s v="NA"/>
  </r>
  <r>
    <x v="2"/>
    <x v="0"/>
    <x v="0"/>
    <x v="2"/>
    <n v="779400"/>
  </r>
  <r>
    <x v="2"/>
    <x v="0"/>
    <x v="41"/>
    <x v="2"/>
    <n v="534600"/>
  </r>
  <r>
    <x v="2"/>
    <x v="0"/>
    <x v="42"/>
    <x v="2"/>
    <n v="130000"/>
  </r>
  <r>
    <x v="2"/>
    <x v="0"/>
    <x v="43"/>
    <x v="2"/>
    <n v="135800"/>
  </r>
  <r>
    <x v="2"/>
    <x v="0"/>
    <x v="44"/>
    <x v="2"/>
    <n v="158000"/>
  </r>
  <r>
    <x v="2"/>
    <x v="0"/>
    <x v="45"/>
    <x v="2"/>
    <n v="17400"/>
  </r>
  <r>
    <x v="2"/>
    <x v="1"/>
    <x v="1"/>
    <x v="2"/>
    <n v="204000"/>
  </r>
  <r>
    <x v="2"/>
    <x v="1"/>
    <x v="46"/>
    <x v="2"/>
    <n v="116400"/>
  </r>
  <r>
    <x v="2"/>
    <x v="1"/>
    <x v="2"/>
    <x v="2"/>
    <n v="47800"/>
  </r>
  <r>
    <x v="2"/>
    <x v="1"/>
    <x v="3"/>
    <x v="2"/>
    <n v="3353"/>
  </r>
  <r>
    <x v="2"/>
    <x v="1"/>
    <x v="47"/>
    <x v="2"/>
    <n v="6915"/>
  </r>
  <r>
    <x v="2"/>
    <x v="1"/>
    <x v="48"/>
    <x v="2"/>
    <n v="6997"/>
  </r>
  <r>
    <x v="2"/>
    <x v="1"/>
    <x v="49"/>
    <x v="2"/>
    <n v="39500"/>
  </r>
  <r>
    <x v="2"/>
    <x v="2"/>
    <x v="5"/>
    <x v="2"/>
    <n v="394300"/>
  </r>
  <r>
    <x v="2"/>
    <x v="2"/>
    <x v="50"/>
    <x v="2"/>
    <n v="184500"/>
  </r>
  <r>
    <x v="2"/>
    <x v="2"/>
    <x v="51"/>
    <x v="2"/>
    <n v="142300"/>
  </r>
  <r>
    <x v="2"/>
    <x v="3"/>
    <x v="8"/>
    <x v="2"/>
    <n v="911800"/>
  </r>
  <r>
    <x v="2"/>
    <x v="3"/>
    <x v="52"/>
    <x v="2"/>
    <n v="38300"/>
  </r>
  <r>
    <x v="2"/>
    <x v="3"/>
    <x v="53"/>
    <x v="2"/>
    <n v="414900"/>
  </r>
  <r>
    <x v="2"/>
    <x v="4"/>
    <x v="11"/>
    <x v="2"/>
    <n v="336900"/>
  </r>
  <r>
    <x v="2"/>
    <x v="4"/>
    <x v="54"/>
    <x v="2"/>
    <n v="69300"/>
  </r>
  <r>
    <x v="2"/>
    <x v="4"/>
    <x v="55"/>
    <x v="2"/>
    <s v="NA"/>
  </r>
  <r>
    <x v="2"/>
    <x v="4"/>
    <x v="56"/>
    <x v="2"/>
    <n v="21900"/>
  </r>
  <r>
    <x v="2"/>
    <x v="4"/>
    <x v="57"/>
    <x v="2"/>
    <s v="NA"/>
  </r>
  <r>
    <x v="2"/>
    <x v="5"/>
    <x v="58"/>
    <x v="2"/>
    <n v="37900"/>
  </r>
  <r>
    <x v="2"/>
    <x v="5"/>
    <x v="59"/>
    <x v="2"/>
    <n v="44300"/>
  </r>
  <r>
    <x v="2"/>
    <x v="5"/>
    <x v="60"/>
    <x v="2"/>
    <n v="26400"/>
  </r>
  <r>
    <x v="2"/>
    <x v="8"/>
    <x v="72"/>
    <x v="2"/>
    <n v="9715"/>
  </r>
  <r>
    <x v="2"/>
    <x v="7"/>
    <x v="62"/>
    <x v="2"/>
    <n v="44100"/>
  </r>
  <r>
    <x v="2"/>
    <x v="7"/>
    <x v="63"/>
    <x v="2"/>
    <n v="12700"/>
  </r>
  <r>
    <x v="2"/>
    <x v="7"/>
    <x v="64"/>
    <x v="2"/>
    <n v="977"/>
  </r>
  <r>
    <x v="3"/>
    <x v="0"/>
    <x v="65"/>
    <x v="2"/>
    <n v="195000"/>
  </r>
  <r>
    <x v="3"/>
    <x v="1"/>
    <x v="66"/>
    <x v="2"/>
    <n v="106000"/>
  </r>
  <r>
    <x v="3"/>
    <x v="1"/>
    <x v="67"/>
    <x v="2"/>
    <n v="7237"/>
  </r>
  <r>
    <x v="3"/>
    <x v="1"/>
    <x v="68"/>
    <x v="2"/>
    <n v="7926"/>
  </r>
  <r>
    <x v="3"/>
    <x v="1"/>
    <x v="69"/>
    <x v="2"/>
    <n v="16000"/>
  </r>
  <r>
    <x v="3"/>
    <x v="2"/>
    <x v="5"/>
    <x v="2"/>
    <n v="226000"/>
  </r>
  <r>
    <x v="3"/>
    <x v="3"/>
    <x v="53"/>
    <x v="2"/>
    <n v="78100"/>
  </r>
  <r>
    <x v="3"/>
    <x v="3"/>
    <x v="8"/>
    <x v="2"/>
    <n v="86700"/>
  </r>
  <r>
    <x v="3"/>
    <x v="4"/>
    <x v="70"/>
    <x v="2"/>
    <n v="113000"/>
  </r>
  <r>
    <x v="3"/>
    <x v="5"/>
    <x v="14"/>
    <x v="2"/>
    <n v="23500"/>
  </r>
  <r>
    <x v="3"/>
    <x v="8"/>
    <x v="72"/>
    <x v="2"/>
    <n v="36400"/>
  </r>
  <r>
    <x v="3"/>
    <x v="7"/>
    <x v="71"/>
    <x v="2"/>
    <n v="32800"/>
  </r>
  <r>
    <x v="0"/>
    <x v="0"/>
    <x v="0"/>
    <x v="3"/>
    <n v="2776304"/>
  </r>
  <r>
    <x v="0"/>
    <x v="1"/>
    <x v="1"/>
    <x v="3"/>
    <n v="3946446"/>
  </r>
  <r>
    <x v="0"/>
    <x v="1"/>
    <x v="2"/>
    <x v="3"/>
    <n v="96710"/>
  </r>
  <r>
    <x v="0"/>
    <x v="1"/>
    <x v="3"/>
    <x v="3"/>
    <n v="14830"/>
  </r>
  <r>
    <x v="0"/>
    <x v="1"/>
    <x v="4"/>
    <x v="3"/>
    <n v="159735"/>
  </r>
  <r>
    <x v="0"/>
    <x v="2"/>
    <x v="5"/>
    <x v="3"/>
    <n v="3696610"/>
  </r>
  <r>
    <x v="0"/>
    <x v="2"/>
    <x v="6"/>
    <x v="3"/>
    <n v="405302"/>
  </r>
  <r>
    <x v="0"/>
    <x v="2"/>
    <x v="7"/>
    <x v="3"/>
    <n v="212044"/>
  </r>
  <r>
    <x v="0"/>
    <x v="3"/>
    <x v="8"/>
    <x v="3"/>
    <n v="1200654"/>
  </r>
  <r>
    <x v="0"/>
    <x v="3"/>
    <x v="9"/>
    <x v="3"/>
    <n v="1142593"/>
  </r>
  <r>
    <x v="0"/>
    <x v="3"/>
    <x v="10"/>
    <x v="3"/>
    <n v="215514"/>
  </r>
  <r>
    <x v="0"/>
    <x v="4"/>
    <x v="11"/>
    <x v="3"/>
    <n v="1145101"/>
  </r>
  <r>
    <x v="0"/>
    <x v="4"/>
    <x v="12"/>
    <x v="3"/>
    <n v="192027"/>
  </r>
  <r>
    <x v="0"/>
    <x v="4"/>
    <x v="13"/>
    <x v="3"/>
    <n v="1069"/>
  </r>
  <r>
    <x v="0"/>
    <x v="5"/>
    <x v="14"/>
    <x v="3"/>
    <n v="340609"/>
  </r>
  <r>
    <x v="0"/>
    <x v="8"/>
    <x v="72"/>
    <x v="3"/>
    <n v="353442"/>
  </r>
  <r>
    <x v="0"/>
    <x v="7"/>
    <x v="16"/>
    <x v="3"/>
    <n v="327376"/>
  </r>
  <r>
    <x v="1"/>
    <x v="0"/>
    <x v="0"/>
    <x v="3"/>
    <n v="2115895"/>
  </r>
  <r>
    <x v="1"/>
    <x v="0"/>
    <x v="17"/>
    <x v="3"/>
    <n v="341086"/>
  </r>
  <r>
    <x v="1"/>
    <x v="0"/>
    <x v="18"/>
    <x v="3"/>
    <n v="295446"/>
  </r>
  <r>
    <x v="1"/>
    <x v="0"/>
    <x v="19"/>
    <x v="3"/>
    <n v="633914"/>
  </r>
  <r>
    <x v="1"/>
    <x v="0"/>
    <x v="20"/>
    <x v="3"/>
    <n v="19563"/>
  </r>
  <r>
    <x v="1"/>
    <x v="1"/>
    <x v="1"/>
    <x v="3"/>
    <n v="546779"/>
  </r>
  <r>
    <x v="1"/>
    <x v="1"/>
    <x v="21"/>
    <x v="3"/>
    <n v="29662"/>
  </r>
  <r>
    <x v="1"/>
    <x v="2"/>
    <x v="5"/>
    <x v="3"/>
    <n v="349611"/>
  </r>
  <r>
    <x v="1"/>
    <x v="2"/>
    <x v="6"/>
    <x v="3"/>
    <n v="3028967"/>
  </r>
  <r>
    <x v="1"/>
    <x v="2"/>
    <x v="22"/>
    <x v="3"/>
    <n v="37115"/>
  </r>
  <r>
    <x v="1"/>
    <x v="3"/>
    <x v="8"/>
    <x v="3"/>
    <n v="3650256"/>
  </r>
  <r>
    <x v="1"/>
    <x v="3"/>
    <x v="23"/>
    <x v="3"/>
    <n v="13469"/>
  </r>
  <r>
    <x v="1"/>
    <x v="3"/>
    <x v="24"/>
    <x v="3"/>
    <n v="49844"/>
  </r>
  <r>
    <x v="1"/>
    <x v="4"/>
    <x v="11"/>
    <x v="3"/>
    <n v="1811086"/>
  </r>
  <r>
    <x v="1"/>
    <x v="4"/>
    <x v="25"/>
    <x v="3"/>
    <n v="99234"/>
  </r>
  <r>
    <x v="1"/>
    <x v="4"/>
    <x v="26"/>
    <x v="3"/>
    <s v="NA"/>
  </r>
  <r>
    <x v="1"/>
    <x v="5"/>
    <x v="14"/>
    <x v="3"/>
    <n v="232029"/>
  </r>
  <r>
    <x v="1"/>
    <x v="5"/>
    <x v="27"/>
    <x v="3"/>
    <n v="13497"/>
  </r>
  <r>
    <x v="1"/>
    <x v="5"/>
    <x v="28"/>
    <x v="3"/>
    <n v="10896"/>
  </r>
  <r>
    <x v="1"/>
    <x v="5"/>
    <x v="29"/>
    <x v="3"/>
    <n v="7268"/>
  </r>
  <r>
    <x v="1"/>
    <x v="5"/>
    <x v="30"/>
    <x v="3"/>
    <n v="7200"/>
  </r>
  <r>
    <x v="1"/>
    <x v="5"/>
    <x v="31"/>
    <x v="3"/>
    <s v="NA"/>
  </r>
  <r>
    <x v="1"/>
    <x v="6"/>
    <x v="15"/>
    <x v="3"/>
    <n v="121263"/>
  </r>
  <r>
    <x v="1"/>
    <x v="6"/>
    <x v="32"/>
    <x v="3"/>
    <n v="12051"/>
  </r>
  <r>
    <x v="1"/>
    <x v="6"/>
    <x v="33"/>
    <x v="3"/>
    <n v="5115"/>
  </r>
  <r>
    <x v="1"/>
    <x v="6"/>
    <x v="73"/>
    <x v="3"/>
    <n v="929"/>
  </r>
  <r>
    <x v="1"/>
    <x v="6"/>
    <x v="35"/>
    <x v="3"/>
    <s v="NA"/>
  </r>
  <r>
    <x v="1"/>
    <x v="7"/>
    <x v="16"/>
    <x v="3"/>
    <n v="361786"/>
  </r>
  <r>
    <x v="1"/>
    <x v="7"/>
    <x v="36"/>
    <x v="3"/>
    <n v="4970"/>
  </r>
  <r>
    <x v="1"/>
    <x v="7"/>
    <x v="37"/>
    <x v="3"/>
    <n v="7906"/>
  </r>
  <r>
    <x v="1"/>
    <x v="7"/>
    <x v="38"/>
    <x v="3"/>
    <s v="NA"/>
  </r>
  <r>
    <x v="1"/>
    <x v="7"/>
    <x v="39"/>
    <x v="3"/>
    <s v="NA"/>
  </r>
  <r>
    <x v="1"/>
    <x v="7"/>
    <x v="40"/>
    <x v="3"/>
    <s v="NA"/>
  </r>
  <r>
    <x v="2"/>
    <x v="0"/>
    <x v="0"/>
    <x v="3"/>
    <n v="802700"/>
  </r>
  <r>
    <x v="2"/>
    <x v="0"/>
    <x v="41"/>
    <x v="3"/>
    <n v="564600"/>
  </r>
  <r>
    <x v="2"/>
    <x v="0"/>
    <x v="42"/>
    <x v="3"/>
    <n v="130600"/>
  </r>
  <r>
    <x v="2"/>
    <x v="0"/>
    <x v="43"/>
    <x v="3"/>
    <n v="135900"/>
  </r>
  <r>
    <x v="2"/>
    <x v="0"/>
    <x v="44"/>
    <x v="3"/>
    <n v="157700"/>
  </r>
  <r>
    <x v="2"/>
    <x v="0"/>
    <x v="45"/>
    <x v="3"/>
    <n v="17500"/>
  </r>
  <r>
    <x v="2"/>
    <x v="1"/>
    <x v="1"/>
    <x v="3"/>
    <n v="204400"/>
  </r>
  <r>
    <x v="2"/>
    <x v="1"/>
    <x v="46"/>
    <x v="3"/>
    <n v="116400"/>
  </r>
  <r>
    <x v="2"/>
    <x v="1"/>
    <x v="2"/>
    <x v="3"/>
    <n v="47700"/>
  </r>
  <r>
    <x v="2"/>
    <x v="1"/>
    <x v="3"/>
    <x v="3"/>
    <n v="3362"/>
  </r>
  <r>
    <x v="2"/>
    <x v="1"/>
    <x v="47"/>
    <x v="3"/>
    <n v="6958"/>
  </r>
  <r>
    <x v="2"/>
    <x v="1"/>
    <x v="48"/>
    <x v="3"/>
    <n v="6982"/>
  </r>
  <r>
    <x v="2"/>
    <x v="1"/>
    <x v="49"/>
    <x v="3"/>
    <n v="39400"/>
  </r>
  <r>
    <x v="2"/>
    <x v="2"/>
    <x v="5"/>
    <x v="3"/>
    <n v="394900"/>
  </r>
  <r>
    <x v="2"/>
    <x v="2"/>
    <x v="50"/>
    <x v="3"/>
    <n v="184200"/>
  </r>
  <r>
    <x v="2"/>
    <x v="2"/>
    <x v="51"/>
    <x v="3"/>
    <n v="142900"/>
  </r>
  <r>
    <x v="2"/>
    <x v="3"/>
    <x v="8"/>
    <x v="3"/>
    <n v="913000"/>
  </r>
  <r>
    <x v="2"/>
    <x v="3"/>
    <x v="52"/>
    <x v="3"/>
    <n v="38400"/>
  </r>
  <r>
    <x v="2"/>
    <x v="3"/>
    <x v="53"/>
    <x v="3"/>
    <n v="416000"/>
  </r>
  <r>
    <x v="2"/>
    <x v="4"/>
    <x v="11"/>
    <x v="3"/>
    <n v="338400"/>
  </r>
  <r>
    <x v="2"/>
    <x v="4"/>
    <x v="54"/>
    <x v="3"/>
    <n v="69400"/>
  </r>
  <r>
    <x v="2"/>
    <x v="4"/>
    <x v="55"/>
    <x v="3"/>
    <s v="NA"/>
  </r>
  <r>
    <x v="2"/>
    <x v="4"/>
    <x v="56"/>
    <x v="3"/>
    <n v="21800"/>
  </r>
  <r>
    <x v="2"/>
    <x v="4"/>
    <x v="57"/>
    <x v="3"/>
    <s v="NA"/>
  </r>
  <r>
    <x v="2"/>
    <x v="5"/>
    <x v="58"/>
    <x v="3"/>
    <n v="38000"/>
  </r>
  <r>
    <x v="2"/>
    <x v="5"/>
    <x v="59"/>
    <x v="3"/>
    <n v="44500"/>
  </r>
  <r>
    <x v="2"/>
    <x v="5"/>
    <x v="60"/>
    <x v="3"/>
    <n v="26400"/>
  </r>
  <r>
    <x v="2"/>
    <x v="8"/>
    <x v="74"/>
    <x v="3"/>
    <n v="11200"/>
  </r>
  <r>
    <x v="2"/>
    <x v="7"/>
    <x v="62"/>
    <x v="3"/>
    <n v="44200"/>
  </r>
  <r>
    <x v="2"/>
    <x v="7"/>
    <x v="63"/>
    <x v="3"/>
    <n v="12800"/>
  </r>
  <r>
    <x v="2"/>
    <x v="7"/>
    <x v="64"/>
    <x v="3"/>
    <n v="983"/>
  </r>
  <r>
    <x v="3"/>
    <x v="0"/>
    <x v="65"/>
    <x v="3"/>
    <n v="199000"/>
  </r>
  <r>
    <x v="3"/>
    <x v="1"/>
    <x v="66"/>
    <x v="3"/>
    <n v="110000"/>
  </r>
  <r>
    <x v="3"/>
    <x v="1"/>
    <x v="67"/>
    <x v="3"/>
    <n v="7580"/>
  </r>
  <r>
    <x v="3"/>
    <x v="1"/>
    <x v="68"/>
    <x v="3"/>
    <n v="8048"/>
  </r>
  <r>
    <x v="3"/>
    <x v="1"/>
    <x v="69"/>
    <x v="3"/>
    <n v="18600"/>
  </r>
  <r>
    <x v="3"/>
    <x v="2"/>
    <x v="5"/>
    <x v="3"/>
    <n v="232000"/>
  </r>
  <r>
    <x v="3"/>
    <x v="3"/>
    <x v="53"/>
    <x v="3"/>
    <n v="78600"/>
  </r>
  <r>
    <x v="3"/>
    <x v="3"/>
    <x v="8"/>
    <x v="3"/>
    <n v="89500"/>
  </r>
  <r>
    <x v="3"/>
    <x v="4"/>
    <x v="70"/>
    <x v="3"/>
    <n v="114000"/>
  </r>
  <r>
    <x v="3"/>
    <x v="5"/>
    <x v="14"/>
    <x v="3"/>
    <n v="24200"/>
  </r>
  <r>
    <x v="3"/>
    <x v="8"/>
    <x v="72"/>
    <x v="3"/>
    <n v="37300"/>
  </r>
  <r>
    <x v="3"/>
    <x v="7"/>
    <x v="71"/>
    <x v="3"/>
    <n v="33800"/>
  </r>
  <r>
    <x v="0"/>
    <x v="0"/>
    <x v="0"/>
    <x v="4"/>
    <n v="2774869"/>
  </r>
  <r>
    <x v="0"/>
    <x v="1"/>
    <x v="1"/>
    <x v="4"/>
    <n v="3944152"/>
  </r>
  <r>
    <x v="0"/>
    <x v="1"/>
    <x v="2"/>
    <x v="4"/>
    <n v="96663"/>
  </r>
  <r>
    <x v="0"/>
    <x v="1"/>
    <x v="3"/>
    <x v="4"/>
    <n v="14832"/>
  </r>
  <r>
    <x v="0"/>
    <x v="1"/>
    <x v="4"/>
    <x v="4"/>
    <n v="159632"/>
  </r>
  <r>
    <x v="0"/>
    <x v="2"/>
    <x v="5"/>
    <x v="4"/>
    <n v="3694950"/>
  </r>
  <r>
    <x v="0"/>
    <x v="2"/>
    <x v="6"/>
    <x v="4"/>
    <n v="407314"/>
  </r>
  <r>
    <x v="0"/>
    <x v="2"/>
    <x v="7"/>
    <x v="4"/>
    <n v="211882"/>
  </r>
  <r>
    <x v="0"/>
    <x v="3"/>
    <x v="8"/>
    <x v="4"/>
    <n v="1201378"/>
  </r>
  <r>
    <x v="0"/>
    <x v="3"/>
    <x v="9"/>
    <x v="4"/>
    <n v="1142056"/>
  </r>
  <r>
    <x v="0"/>
    <x v="3"/>
    <x v="10"/>
    <x v="4"/>
    <n v="215622"/>
  </r>
  <r>
    <x v="0"/>
    <x v="4"/>
    <x v="11"/>
    <x v="4"/>
    <n v="1146324"/>
  </r>
  <r>
    <x v="0"/>
    <x v="4"/>
    <x v="12"/>
    <x v="4"/>
    <n v="191854"/>
  </r>
  <r>
    <x v="0"/>
    <x v="4"/>
    <x v="13"/>
    <x v="4"/>
    <n v="1070"/>
  </r>
  <r>
    <x v="0"/>
    <x v="5"/>
    <x v="14"/>
    <x v="4"/>
    <n v="341153"/>
  </r>
  <r>
    <x v="0"/>
    <x v="8"/>
    <x v="72"/>
    <x v="4"/>
    <n v="353390"/>
  </r>
  <r>
    <x v="0"/>
    <x v="7"/>
    <x v="16"/>
    <x v="4"/>
    <n v="327612"/>
  </r>
  <r>
    <x v="1"/>
    <x v="0"/>
    <x v="0"/>
    <x v="4"/>
    <n v="2774869"/>
  </r>
  <r>
    <x v="1"/>
    <x v="0"/>
    <x v="17"/>
    <x v="4"/>
    <n v="323163"/>
  </r>
  <r>
    <x v="1"/>
    <x v="0"/>
    <x v="18"/>
    <x v="4"/>
    <n v="297107"/>
  </r>
  <r>
    <x v="1"/>
    <x v="0"/>
    <x v="19"/>
    <x v="4"/>
    <n v="637269"/>
  </r>
  <r>
    <x v="1"/>
    <x v="0"/>
    <x v="20"/>
    <x v="4"/>
    <n v="19820"/>
  </r>
  <r>
    <x v="1"/>
    <x v="1"/>
    <x v="1"/>
    <x v="4"/>
    <n v="551759"/>
  </r>
  <r>
    <x v="1"/>
    <x v="1"/>
    <x v="21"/>
    <x v="4"/>
    <n v="29933"/>
  </r>
  <r>
    <x v="1"/>
    <x v="2"/>
    <x v="5"/>
    <x v="4"/>
    <n v="353706"/>
  </r>
  <r>
    <x v="1"/>
    <x v="2"/>
    <x v="6"/>
    <x v="4"/>
    <n v="3078994"/>
  </r>
  <r>
    <x v="1"/>
    <x v="2"/>
    <x v="22"/>
    <x v="4"/>
    <n v="37284"/>
  </r>
  <r>
    <x v="1"/>
    <x v="3"/>
    <x v="8"/>
    <x v="4"/>
    <n v="3681638"/>
  </r>
  <r>
    <x v="1"/>
    <x v="3"/>
    <x v="23"/>
    <x v="4"/>
    <n v="13612"/>
  </r>
  <r>
    <x v="1"/>
    <x v="3"/>
    <x v="24"/>
    <x v="4"/>
    <n v="51511"/>
  </r>
  <r>
    <x v="1"/>
    <x v="4"/>
    <x v="11"/>
    <x v="4"/>
    <n v="1834606"/>
  </r>
  <r>
    <x v="1"/>
    <x v="4"/>
    <x v="25"/>
    <x v="4"/>
    <n v="100946"/>
  </r>
  <r>
    <x v="1"/>
    <x v="4"/>
    <x v="26"/>
    <x v="4"/>
    <s v="NA"/>
  </r>
  <r>
    <x v="1"/>
    <x v="5"/>
    <x v="14"/>
    <x v="4"/>
    <n v="234344"/>
  </r>
  <r>
    <x v="1"/>
    <x v="5"/>
    <x v="27"/>
    <x v="4"/>
    <n v="13797"/>
  </r>
  <r>
    <x v="1"/>
    <x v="5"/>
    <x v="28"/>
    <x v="4"/>
    <n v="11008"/>
  </r>
  <r>
    <x v="1"/>
    <x v="5"/>
    <x v="29"/>
    <x v="4"/>
    <n v="7397"/>
  </r>
  <r>
    <x v="1"/>
    <x v="5"/>
    <x v="30"/>
    <x v="4"/>
    <n v="7388"/>
  </r>
  <r>
    <x v="1"/>
    <x v="5"/>
    <x v="31"/>
    <x v="4"/>
    <s v="NA"/>
  </r>
  <r>
    <x v="1"/>
    <x v="8"/>
    <x v="72"/>
    <x v="4"/>
    <n v="75749"/>
  </r>
  <r>
    <x v="1"/>
    <x v="8"/>
    <x v="75"/>
    <x v="4"/>
    <n v="5600"/>
  </r>
  <r>
    <x v="1"/>
    <x v="8"/>
    <x v="76"/>
    <x v="4"/>
    <n v="8399"/>
  </r>
  <r>
    <x v="1"/>
    <x v="8"/>
    <x v="77"/>
    <x v="4"/>
    <n v="7635"/>
  </r>
  <r>
    <x v="1"/>
    <x v="8"/>
    <x v="78"/>
    <x v="4"/>
    <n v="9725"/>
  </r>
  <r>
    <x v="1"/>
    <x v="7"/>
    <x v="16"/>
    <x v="4"/>
    <n v="366572"/>
  </r>
  <r>
    <x v="1"/>
    <x v="7"/>
    <x v="36"/>
    <x v="4"/>
    <n v="5065"/>
  </r>
  <r>
    <x v="1"/>
    <x v="7"/>
    <x v="37"/>
    <x v="4"/>
    <n v="8050"/>
  </r>
  <r>
    <x v="1"/>
    <x v="7"/>
    <x v="38"/>
    <x v="4"/>
    <n v="4023"/>
  </r>
  <r>
    <x v="1"/>
    <x v="7"/>
    <x v="39"/>
    <x v="4"/>
    <n v="871"/>
  </r>
  <r>
    <x v="1"/>
    <x v="7"/>
    <x v="40"/>
    <x v="4"/>
    <n v="10995"/>
  </r>
  <r>
    <x v="2"/>
    <x v="0"/>
    <x v="0"/>
    <x v="4"/>
    <n v="804800"/>
  </r>
  <r>
    <x v="2"/>
    <x v="0"/>
    <x v="41"/>
    <x v="4"/>
    <n v="564700"/>
  </r>
  <r>
    <x v="2"/>
    <x v="0"/>
    <x v="42"/>
    <x v="4"/>
    <n v="131000"/>
  </r>
  <r>
    <x v="2"/>
    <x v="0"/>
    <x v="43"/>
    <x v="4"/>
    <n v="136100"/>
  </r>
  <r>
    <x v="2"/>
    <x v="0"/>
    <x v="44"/>
    <x v="4"/>
    <n v="157500"/>
  </r>
  <r>
    <x v="2"/>
    <x v="0"/>
    <x v="45"/>
    <x v="4"/>
    <n v="17500"/>
  </r>
  <r>
    <x v="2"/>
    <x v="1"/>
    <x v="1"/>
    <x v="4"/>
    <n v="204800"/>
  </r>
  <r>
    <x v="2"/>
    <x v="1"/>
    <x v="46"/>
    <x v="4"/>
    <n v="116600"/>
  </r>
  <r>
    <x v="2"/>
    <x v="1"/>
    <x v="2"/>
    <x v="4"/>
    <n v="47600"/>
  </r>
  <r>
    <x v="2"/>
    <x v="1"/>
    <x v="3"/>
    <x v="4"/>
    <n v="3367"/>
  </r>
  <r>
    <x v="2"/>
    <x v="1"/>
    <x v="47"/>
    <x v="4"/>
    <n v="7009"/>
  </r>
  <r>
    <x v="2"/>
    <x v="1"/>
    <x v="48"/>
    <x v="4"/>
    <n v="6962"/>
  </r>
  <r>
    <x v="2"/>
    <x v="1"/>
    <x v="49"/>
    <x v="4"/>
    <n v="39400"/>
  </r>
  <r>
    <x v="2"/>
    <x v="2"/>
    <x v="5"/>
    <x v="4"/>
    <n v="395900"/>
  </r>
  <r>
    <x v="2"/>
    <x v="2"/>
    <x v="50"/>
    <x v="4"/>
    <n v="183900"/>
  </r>
  <r>
    <x v="2"/>
    <x v="2"/>
    <x v="51"/>
    <x v="4"/>
    <n v="143600"/>
  </r>
  <r>
    <x v="2"/>
    <x v="3"/>
    <x v="8"/>
    <x v="4"/>
    <n v="914200"/>
  </r>
  <r>
    <x v="2"/>
    <x v="3"/>
    <x v="52"/>
    <x v="4"/>
    <n v="38600"/>
  </r>
  <r>
    <x v="2"/>
    <x v="3"/>
    <x v="53"/>
    <x v="4"/>
    <n v="417000"/>
  </r>
  <r>
    <x v="2"/>
    <x v="4"/>
    <x v="11"/>
    <x v="4"/>
    <n v="339300"/>
  </r>
  <r>
    <x v="2"/>
    <x v="4"/>
    <x v="54"/>
    <x v="4"/>
    <n v="69400"/>
  </r>
  <r>
    <x v="2"/>
    <x v="4"/>
    <x v="55"/>
    <x v="4"/>
    <s v="NA"/>
  </r>
  <r>
    <x v="2"/>
    <x v="4"/>
    <x v="56"/>
    <x v="4"/>
    <n v="21800"/>
  </r>
  <r>
    <x v="2"/>
    <x v="4"/>
    <x v="57"/>
    <x v="4"/>
    <s v="NA"/>
  </r>
  <r>
    <x v="2"/>
    <x v="5"/>
    <x v="58"/>
    <x v="4"/>
    <n v="38200"/>
  </r>
  <r>
    <x v="2"/>
    <x v="5"/>
    <x v="59"/>
    <x v="4"/>
    <n v="44800"/>
  </r>
  <r>
    <x v="2"/>
    <x v="5"/>
    <x v="60"/>
    <x v="4"/>
    <n v="26400"/>
  </r>
  <r>
    <x v="2"/>
    <x v="8"/>
    <x v="74"/>
    <x v="4"/>
    <n v="11600"/>
  </r>
  <r>
    <x v="2"/>
    <x v="7"/>
    <x v="62"/>
    <x v="4"/>
    <n v="44400"/>
  </r>
  <r>
    <x v="2"/>
    <x v="7"/>
    <x v="63"/>
    <x v="4"/>
    <n v="12800"/>
  </r>
  <r>
    <x v="2"/>
    <x v="7"/>
    <x v="64"/>
    <x v="4"/>
    <n v="986"/>
  </r>
  <r>
    <x v="3"/>
    <x v="0"/>
    <x v="65"/>
    <x v="4"/>
    <n v="203000"/>
  </r>
  <r>
    <x v="3"/>
    <x v="1"/>
    <x v="66"/>
    <x v="4"/>
    <n v="113000"/>
  </r>
  <r>
    <x v="3"/>
    <x v="1"/>
    <x v="67"/>
    <x v="4"/>
    <n v="7704"/>
  </r>
  <r>
    <x v="3"/>
    <x v="1"/>
    <x v="68"/>
    <x v="4"/>
    <n v="8139"/>
  </r>
  <r>
    <x v="3"/>
    <x v="1"/>
    <x v="69"/>
    <x v="4"/>
    <n v="19900"/>
  </r>
  <r>
    <x v="3"/>
    <x v="2"/>
    <x v="5"/>
    <x v="4"/>
    <n v="235000"/>
  </r>
  <r>
    <x v="3"/>
    <x v="3"/>
    <x v="53"/>
    <x v="4"/>
    <n v="79500"/>
  </r>
  <r>
    <x v="3"/>
    <x v="3"/>
    <x v="8"/>
    <x v="4"/>
    <n v="92800"/>
  </r>
  <r>
    <x v="3"/>
    <x v="4"/>
    <x v="70"/>
    <x v="4"/>
    <n v="114000"/>
  </r>
  <r>
    <x v="3"/>
    <x v="5"/>
    <x v="14"/>
    <x v="4"/>
    <n v="24500"/>
  </r>
  <r>
    <x v="3"/>
    <x v="8"/>
    <x v="72"/>
    <x v="4"/>
    <n v="38000"/>
  </r>
  <r>
    <x v="3"/>
    <x v="7"/>
    <x v="71"/>
    <x v="4"/>
    <n v="34400"/>
  </r>
  <r>
    <x v="0"/>
    <x v="0"/>
    <x v="0"/>
    <x v="5"/>
    <n v="2771783"/>
  </r>
  <r>
    <x v="0"/>
    <x v="1"/>
    <x v="1"/>
    <x v="5"/>
    <n v="3942104"/>
  </r>
  <r>
    <x v="0"/>
    <x v="1"/>
    <x v="2"/>
    <x v="5"/>
    <n v="96543"/>
  </r>
  <r>
    <x v="0"/>
    <x v="1"/>
    <x v="3"/>
    <x v="5"/>
    <n v="14844"/>
  </r>
  <r>
    <x v="0"/>
    <x v="1"/>
    <x v="4"/>
    <x v="5"/>
    <n v="159509"/>
  </r>
  <r>
    <x v="0"/>
    <x v="2"/>
    <x v="5"/>
    <x v="5"/>
    <n v="3694322"/>
  </r>
  <r>
    <x v="0"/>
    <x v="2"/>
    <x v="6"/>
    <x v="5"/>
    <n v="408930"/>
  </r>
  <r>
    <x v="0"/>
    <x v="2"/>
    <x v="7"/>
    <x v="5"/>
    <n v="211705"/>
  </r>
  <r>
    <x v="0"/>
    <x v="3"/>
    <x v="8"/>
    <x v="5"/>
    <n v="1202085"/>
  </r>
  <r>
    <x v="0"/>
    <x v="3"/>
    <x v="9"/>
    <x v="5"/>
    <n v="1141647"/>
  </r>
  <r>
    <x v="0"/>
    <x v="3"/>
    <x v="10"/>
    <x v="5"/>
    <n v="215504"/>
  </r>
  <r>
    <x v="0"/>
    <x v="4"/>
    <x v="11"/>
    <x v="5"/>
    <n v="1147764"/>
  </r>
  <r>
    <x v="0"/>
    <x v="4"/>
    <x v="12"/>
    <x v="5"/>
    <n v="191643"/>
  </r>
  <r>
    <x v="0"/>
    <x v="4"/>
    <x v="13"/>
    <x v="5"/>
    <n v="1075"/>
  </r>
  <r>
    <x v="0"/>
    <x v="5"/>
    <x v="14"/>
    <x v="5"/>
    <n v="341591"/>
  </r>
  <r>
    <x v="0"/>
    <x v="8"/>
    <x v="72"/>
    <x v="5"/>
    <n v="353189"/>
  </r>
  <r>
    <x v="0"/>
    <x v="7"/>
    <x v="16"/>
    <x v="5"/>
    <n v="328074"/>
  </r>
  <r>
    <x v="1"/>
    <x v="0"/>
    <x v="0"/>
    <x v="5"/>
    <n v="2174339"/>
  </r>
  <r>
    <x v="1"/>
    <x v="0"/>
    <x v="17"/>
    <x v="5"/>
    <n v="344448"/>
  </r>
  <r>
    <x v="1"/>
    <x v="0"/>
    <x v="18"/>
    <x v="5"/>
    <n v="298756"/>
  </r>
  <r>
    <x v="1"/>
    <x v="0"/>
    <x v="19"/>
    <x v="5"/>
    <n v="641131"/>
  </r>
  <r>
    <x v="1"/>
    <x v="0"/>
    <x v="20"/>
    <x v="5"/>
    <n v="20071"/>
  </r>
  <r>
    <x v="1"/>
    <x v="1"/>
    <x v="1"/>
    <x v="5"/>
    <n v="559045"/>
  </r>
  <r>
    <x v="1"/>
    <x v="1"/>
    <x v="21"/>
    <x v="5"/>
    <n v="30195"/>
  </r>
  <r>
    <x v="1"/>
    <x v="2"/>
    <x v="5"/>
    <x v="5"/>
    <n v="358090"/>
  </r>
  <r>
    <x v="1"/>
    <x v="2"/>
    <x v="6"/>
    <x v="5"/>
    <n v="3146916"/>
  </r>
  <r>
    <x v="1"/>
    <x v="2"/>
    <x v="22"/>
    <x v="5"/>
    <n v="37522"/>
  </r>
  <r>
    <x v="1"/>
    <x v="3"/>
    <x v="8"/>
    <x v="5"/>
    <n v="3715832"/>
  </r>
  <r>
    <x v="1"/>
    <x v="3"/>
    <x v="23"/>
    <x v="5"/>
    <n v="13780"/>
  </r>
  <r>
    <x v="1"/>
    <x v="3"/>
    <x v="24"/>
    <x v="5"/>
    <n v="53317"/>
  </r>
  <r>
    <x v="1"/>
    <x v="4"/>
    <x v="11"/>
    <x v="5"/>
    <n v="1863267"/>
  </r>
  <r>
    <x v="1"/>
    <x v="4"/>
    <x v="25"/>
    <x v="5"/>
    <n v="102996"/>
  </r>
  <r>
    <x v="1"/>
    <x v="4"/>
    <x v="26"/>
    <x v="5"/>
    <s v="NA"/>
  </r>
  <r>
    <x v="1"/>
    <x v="5"/>
    <x v="14"/>
    <x v="5"/>
    <n v="236833"/>
  </r>
  <r>
    <x v="1"/>
    <x v="5"/>
    <x v="27"/>
    <x v="5"/>
    <n v="14067"/>
  </r>
  <r>
    <x v="1"/>
    <x v="5"/>
    <x v="28"/>
    <x v="5"/>
    <n v="11142"/>
  </r>
  <r>
    <x v="1"/>
    <x v="5"/>
    <x v="29"/>
    <x v="5"/>
    <n v="7527"/>
  </r>
  <r>
    <x v="1"/>
    <x v="5"/>
    <x v="30"/>
    <x v="5"/>
    <n v="7670"/>
  </r>
  <r>
    <x v="1"/>
    <x v="5"/>
    <x v="31"/>
    <x v="5"/>
    <s v="NA"/>
  </r>
  <r>
    <x v="1"/>
    <x v="8"/>
    <x v="72"/>
    <x v="5"/>
    <n v="78329"/>
  </r>
  <r>
    <x v="1"/>
    <x v="8"/>
    <x v="75"/>
    <x v="5"/>
    <n v="5840"/>
  </r>
  <r>
    <x v="1"/>
    <x v="8"/>
    <x v="76"/>
    <x v="5"/>
    <n v="8565"/>
  </r>
  <r>
    <x v="1"/>
    <x v="8"/>
    <x v="77"/>
    <x v="5"/>
    <n v="7853"/>
  </r>
  <r>
    <x v="1"/>
    <x v="8"/>
    <x v="78"/>
    <x v="5"/>
    <n v="9850"/>
  </r>
  <r>
    <x v="1"/>
    <x v="7"/>
    <x v="16"/>
    <x v="5"/>
    <n v="371278"/>
  </r>
  <r>
    <x v="1"/>
    <x v="7"/>
    <x v="36"/>
    <x v="5"/>
    <n v="5178"/>
  </r>
  <r>
    <x v="1"/>
    <x v="7"/>
    <x v="37"/>
    <x v="5"/>
    <n v="8198"/>
  </r>
  <r>
    <x v="1"/>
    <x v="7"/>
    <x v="38"/>
    <x v="5"/>
    <n v="4179"/>
  </r>
  <r>
    <x v="1"/>
    <x v="7"/>
    <x v="39"/>
    <x v="5"/>
    <n v="894"/>
  </r>
  <r>
    <x v="1"/>
    <x v="7"/>
    <x v="40"/>
    <x v="5"/>
    <n v="11364"/>
  </r>
  <r>
    <x v="2"/>
    <x v="0"/>
    <x v="0"/>
    <x v="5"/>
    <n v="805100"/>
  </r>
  <r>
    <x v="2"/>
    <x v="0"/>
    <x v="41"/>
    <x v="5"/>
    <n v="564000"/>
  </r>
  <r>
    <x v="2"/>
    <x v="0"/>
    <x v="42"/>
    <x v="5"/>
    <n v="131300"/>
  </r>
  <r>
    <x v="2"/>
    <x v="0"/>
    <x v="43"/>
    <x v="5"/>
    <n v="136300"/>
  </r>
  <r>
    <x v="2"/>
    <x v="0"/>
    <x v="44"/>
    <x v="5"/>
    <n v="157300"/>
  </r>
  <r>
    <x v="2"/>
    <x v="0"/>
    <x v="45"/>
    <x v="5"/>
    <n v="17600"/>
  </r>
  <r>
    <x v="2"/>
    <x v="1"/>
    <x v="1"/>
    <x v="5"/>
    <n v="205500"/>
  </r>
  <r>
    <x v="2"/>
    <x v="1"/>
    <x v="46"/>
    <x v="5"/>
    <n v="117000"/>
  </r>
  <r>
    <x v="2"/>
    <x v="1"/>
    <x v="2"/>
    <x v="5"/>
    <n v="47600"/>
  </r>
  <r>
    <x v="2"/>
    <x v="1"/>
    <x v="3"/>
    <x v="5"/>
    <n v="3379"/>
  </r>
  <r>
    <x v="2"/>
    <x v="1"/>
    <x v="47"/>
    <x v="5"/>
    <n v="7046"/>
  </r>
  <r>
    <x v="2"/>
    <x v="1"/>
    <x v="48"/>
    <x v="5"/>
    <n v="6961"/>
  </r>
  <r>
    <x v="2"/>
    <x v="1"/>
    <x v="49"/>
    <x v="5"/>
    <n v="39300"/>
  </r>
  <r>
    <x v="2"/>
    <x v="2"/>
    <x v="5"/>
    <x v="5"/>
    <n v="396900"/>
  </r>
  <r>
    <x v="2"/>
    <x v="2"/>
    <x v="50"/>
    <x v="5"/>
    <n v="183700"/>
  </r>
  <r>
    <x v="2"/>
    <x v="2"/>
    <x v="51"/>
    <x v="5"/>
    <n v="144200"/>
  </r>
  <r>
    <x v="2"/>
    <x v="3"/>
    <x v="8"/>
    <x v="5"/>
    <n v="914700"/>
  </r>
  <r>
    <x v="2"/>
    <x v="3"/>
    <x v="52"/>
    <x v="5"/>
    <n v="38700"/>
  </r>
  <r>
    <x v="2"/>
    <x v="3"/>
    <x v="53"/>
    <x v="5"/>
    <n v="417600"/>
  </r>
  <r>
    <x v="2"/>
    <x v="4"/>
    <x v="11"/>
    <x v="5"/>
    <n v="339800"/>
  </r>
  <r>
    <x v="2"/>
    <x v="4"/>
    <x v="54"/>
    <x v="5"/>
    <n v="69400"/>
  </r>
  <r>
    <x v="2"/>
    <x v="4"/>
    <x v="55"/>
    <x v="5"/>
    <s v="NA"/>
  </r>
  <r>
    <x v="2"/>
    <x v="4"/>
    <x v="56"/>
    <x v="5"/>
    <n v="21800"/>
  </r>
  <r>
    <x v="2"/>
    <x v="4"/>
    <x v="57"/>
    <x v="5"/>
    <s v="NA"/>
  </r>
  <r>
    <x v="2"/>
    <x v="5"/>
    <x v="58"/>
    <x v="5"/>
    <n v="38300"/>
  </r>
  <r>
    <x v="2"/>
    <x v="5"/>
    <x v="59"/>
    <x v="5"/>
    <n v="45000"/>
  </r>
  <r>
    <x v="2"/>
    <x v="5"/>
    <x v="60"/>
    <x v="5"/>
    <n v="26500"/>
  </r>
  <r>
    <x v="2"/>
    <x v="8"/>
    <x v="74"/>
    <x v="5"/>
    <n v="12000"/>
  </r>
  <r>
    <x v="2"/>
    <x v="7"/>
    <x v="62"/>
    <x v="5"/>
    <n v="44500"/>
  </r>
  <r>
    <x v="2"/>
    <x v="7"/>
    <x v="63"/>
    <x v="5"/>
    <n v="12900"/>
  </r>
  <r>
    <x v="2"/>
    <x v="7"/>
    <x v="64"/>
    <x v="5"/>
    <n v="988"/>
  </r>
  <r>
    <x v="3"/>
    <x v="0"/>
    <x v="65"/>
    <x v="5"/>
    <n v="210000"/>
  </r>
  <r>
    <x v="3"/>
    <x v="1"/>
    <x v="66"/>
    <x v="5"/>
    <n v="116000"/>
  </r>
  <r>
    <x v="3"/>
    <x v="1"/>
    <x v="67"/>
    <x v="5"/>
    <n v="7892"/>
  </r>
  <r>
    <x v="3"/>
    <x v="1"/>
    <x v="68"/>
    <x v="5"/>
    <n v="8263"/>
  </r>
  <r>
    <x v="3"/>
    <x v="1"/>
    <x v="69"/>
    <x v="5"/>
    <n v="22700"/>
  </r>
  <r>
    <x v="3"/>
    <x v="2"/>
    <x v="5"/>
    <x v="5"/>
    <n v="241000"/>
  </r>
  <r>
    <x v="3"/>
    <x v="3"/>
    <x v="53"/>
    <x v="5"/>
    <n v="81800"/>
  </r>
  <r>
    <x v="3"/>
    <x v="3"/>
    <x v="8"/>
    <x v="5"/>
    <n v="96100"/>
  </r>
  <r>
    <x v="3"/>
    <x v="4"/>
    <x v="70"/>
    <x v="5"/>
    <n v="117000"/>
  </r>
  <r>
    <x v="3"/>
    <x v="5"/>
    <x v="14"/>
    <x v="5"/>
    <n v="25500"/>
  </r>
  <r>
    <x v="3"/>
    <x v="8"/>
    <x v="72"/>
    <x v="5"/>
    <n v="39100"/>
  </r>
  <r>
    <x v="0"/>
    <x v="0"/>
    <x v="0"/>
    <x v="6"/>
    <n v="2770986"/>
  </r>
  <r>
    <x v="0"/>
    <x v="1"/>
    <x v="1"/>
    <x v="6"/>
    <n v="3941761"/>
  </r>
  <r>
    <x v="0"/>
    <x v="1"/>
    <x v="2"/>
    <x v="6"/>
    <n v="96650"/>
  </r>
  <r>
    <x v="0"/>
    <x v="1"/>
    <x v="3"/>
    <x v="6"/>
    <n v="14871"/>
  </r>
  <r>
    <x v="0"/>
    <x v="1"/>
    <x v="4"/>
    <x v="6"/>
    <n v="159393"/>
  </r>
  <r>
    <x v="0"/>
    <x v="2"/>
    <x v="5"/>
    <x v="6"/>
    <n v="3693407"/>
  </r>
  <r>
    <x v="0"/>
    <x v="2"/>
    <x v="6"/>
    <x v="6"/>
    <n v="412974"/>
  </r>
  <r>
    <x v="0"/>
    <x v="2"/>
    <x v="7"/>
    <x v="6"/>
    <n v="211625"/>
  </r>
  <r>
    <x v="0"/>
    <x v="3"/>
    <x v="8"/>
    <x v="6"/>
    <n v="1204171"/>
  </r>
  <r>
    <x v="0"/>
    <x v="3"/>
    <x v="9"/>
    <x v="6"/>
    <n v="1142016"/>
  </r>
  <r>
    <x v="0"/>
    <x v="3"/>
    <x v="10"/>
    <x v="6"/>
    <n v="215734"/>
  </r>
  <r>
    <x v="0"/>
    <x v="4"/>
    <x v="11"/>
    <x v="6"/>
    <n v="1150804"/>
  </r>
  <r>
    <x v="0"/>
    <x v="4"/>
    <x v="12"/>
    <x v="6"/>
    <n v="191555"/>
  </r>
  <r>
    <x v="0"/>
    <x v="4"/>
    <x v="13"/>
    <x v="6"/>
    <s v="NA"/>
  </r>
  <r>
    <x v="0"/>
    <x v="5"/>
    <x v="14"/>
    <x v="6"/>
    <n v="342672"/>
  </r>
  <r>
    <x v="0"/>
    <x v="8"/>
    <x v="72"/>
    <x v="6"/>
    <n v="353329"/>
  </r>
  <r>
    <x v="0"/>
    <x v="7"/>
    <x v="16"/>
    <x v="6"/>
    <n v="328999"/>
  </r>
  <r>
    <x v="1"/>
    <x v="0"/>
    <x v="0"/>
    <x v="6"/>
    <n v="2208988"/>
  </r>
  <r>
    <x v="1"/>
    <x v="0"/>
    <x v="17"/>
    <x v="6"/>
    <n v="346346"/>
  </r>
  <r>
    <x v="1"/>
    <x v="0"/>
    <x v="18"/>
    <x v="6"/>
    <n v="300722"/>
  </r>
  <r>
    <x v="1"/>
    <x v="0"/>
    <x v="19"/>
    <x v="6"/>
    <n v="649679"/>
  </r>
  <r>
    <x v="1"/>
    <x v="0"/>
    <x v="20"/>
    <x v="6"/>
    <n v="20336"/>
  </r>
  <r>
    <x v="1"/>
    <x v="1"/>
    <x v="1"/>
    <x v="6"/>
    <n v="566948"/>
  </r>
  <r>
    <x v="1"/>
    <x v="1"/>
    <x v="21"/>
    <x v="6"/>
    <n v="30633"/>
  </r>
  <r>
    <x v="1"/>
    <x v="2"/>
    <x v="5"/>
    <x v="6"/>
    <n v="363155"/>
  </r>
  <r>
    <x v="1"/>
    <x v="2"/>
    <x v="6"/>
    <x v="6"/>
    <n v="3213908"/>
  </r>
  <r>
    <x v="1"/>
    <x v="2"/>
    <x v="22"/>
    <x v="6"/>
    <n v="37782"/>
  </r>
  <r>
    <x v="1"/>
    <x v="3"/>
    <x v="8"/>
    <x v="6"/>
    <n v="3755976"/>
  </r>
  <r>
    <x v="1"/>
    <x v="3"/>
    <x v="23"/>
    <x v="6"/>
    <n v="13901"/>
  </r>
  <r>
    <x v="1"/>
    <x v="3"/>
    <x v="24"/>
    <x v="6"/>
    <n v="55387"/>
  </r>
  <r>
    <x v="1"/>
    <x v="4"/>
    <x v="11"/>
    <x v="6"/>
    <n v="1896628"/>
  </r>
  <r>
    <x v="1"/>
    <x v="4"/>
    <x v="25"/>
    <x v="6"/>
    <n v="104988"/>
  </r>
  <r>
    <x v="1"/>
    <x v="4"/>
    <x v="26"/>
    <x v="6"/>
    <s v="NA"/>
  </r>
  <r>
    <x v="1"/>
    <x v="5"/>
    <x v="14"/>
    <x v="6"/>
    <n v="239769"/>
  </r>
  <r>
    <x v="1"/>
    <x v="5"/>
    <x v="27"/>
    <x v="6"/>
    <n v="14548"/>
  </r>
  <r>
    <x v="1"/>
    <x v="5"/>
    <x v="28"/>
    <x v="6"/>
    <n v="11312"/>
  </r>
  <r>
    <x v="1"/>
    <x v="5"/>
    <x v="29"/>
    <x v="6"/>
    <n v="7677"/>
  </r>
  <r>
    <x v="1"/>
    <x v="5"/>
    <x v="30"/>
    <x v="6"/>
    <n v="8036"/>
  </r>
  <r>
    <x v="1"/>
    <x v="5"/>
    <x v="31"/>
    <x v="6"/>
    <s v="NA"/>
  </r>
  <r>
    <x v="1"/>
    <x v="8"/>
    <x v="72"/>
    <x v="6"/>
    <n v="81435"/>
  </r>
  <r>
    <x v="1"/>
    <x v="8"/>
    <x v="75"/>
    <x v="6"/>
    <n v="6112"/>
  </r>
  <r>
    <x v="1"/>
    <x v="8"/>
    <x v="76"/>
    <x v="6"/>
    <n v="8858"/>
  </r>
  <r>
    <x v="1"/>
    <x v="8"/>
    <x v="77"/>
    <x v="6"/>
    <n v="8205"/>
  </r>
  <r>
    <x v="1"/>
    <x v="8"/>
    <x v="78"/>
    <x v="6"/>
    <n v="10046"/>
  </r>
  <r>
    <x v="1"/>
    <x v="7"/>
    <x v="16"/>
    <x v="6"/>
    <n v="376412"/>
  </r>
  <r>
    <x v="1"/>
    <x v="7"/>
    <x v="36"/>
    <x v="6"/>
    <n v="5279"/>
  </r>
  <r>
    <x v="1"/>
    <x v="7"/>
    <x v="37"/>
    <x v="6"/>
    <n v="8388"/>
  </r>
  <r>
    <x v="1"/>
    <x v="7"/>
    <x v="38"/>
    <x v="6"/>
    <n v="4379"/>
  </r>
  <r>
    <x v="1"/>
    <x v="7"/>
    <x v="39"/>
    <x v="6"/>
    <n v="913"/>
  </r>
  <r>
    <x v="1"/>
    <x v="7"/>
    <x v="40"/>
    <x v="6"/>
    <n v="11921"/>
  </r>
  <r>
    <x v="2"/>
    <x v="0"/>
    <x v="0"/>
    <x v="6"/>
    <n v="817603"/>
  </r>
  <r>
    <x v="2"/>
    <x v="0"/>
    <x v="41"/>
    <x v="6"/>
    <n v="563770"/>
  </r>
  <r>
    <x v="2"/>
    <x v="0"/>
    <x v="42"/>
    <x v="6"/>
    <n v="131824"/>
  </r>
  <r>
    <x v="2"/>
    <x v="0"/>
    <x v="43"/>
    <x v="6"/>
    <n v="136520"/>
  </r>
  <r>
    <x v="2"/>
    <x v="0"/>
    <x v="44"/>
    <x v="6"/>
    <n v="157249"/>
  </r>
  <r>
    <x v="2"/>
    <x v="0"/>
    <x v="45"/>
    <x v="6"/>
    <n v="17718"/>
  </r>
  <r>
    <x v="2"/>
    <x v="1"/>
    <x v="1"/>
    <x v="6"/>
    <n v="206162"/>
  </r>
  <r>
    <x v="2"/>
    <x v="1"/>
    <x v="46"/>
    <x v="6"/>
    <n v="117511"/>
  </r>
  <r>
    <x v="2"/>
    <x v="1"/>
    <x v="2"/>
    <x v="6"/>
    <n v="47663"/>
  </r>
  <r>
    <x v="2"/>
    <x v="1"/>
    <x v="3"/>
    <x v="6"/>
    <n v="3407"/>
  </r>
  <r>
    <x v="2"/>
    <x v="1"/>
    <x v="47"/>
    <x v="6"/>
    <n v="7082"/>
  </r>
  <r>
    <x v="2"/>
    <x v="1"/>
    <x v="48"/>
    <x v="6"/>
    <n v="6958"/>
  </r>
  <r>
    <x v="2"/>
    <x v="1"/>
    <x v="49"/>
    <x v="6"/>
    <n v="39336"/>
  </r>
  <r>
    <x v="2"/>
    <x v="2"/>
    <x v="5"/>
    <x v="6"/>
    <n v="397944"/>
  </r>
  <r>
    <x v="2"/>
    <x v="2"/>
    <x v="50"/>
    <x v="6"/>
    <n v="183590"/>
  </r>
  <r>
    <x v="2"/>
    <x v="2"/>
    <x v="51"/>
    <x v="6"/>
    <n v="145126"/>
  </r>
  <r>
    <x v="2"/>
    <x v="3"/>
    <x v="8"/>
    <x v="6"/>
    <n v="915162"/>
  </r>
  <r>
    <x v="2"/>
    <x v="3"/>
    <x v="52"/>
    <x v="6"/>
    <n v="39021"/>
  </r>
  <r>
    <x v="2"/>
    <x v="3"/>
    <x v="53"/>
    <x v="6"/>
    <n v="418263"/>
  </r>
  <r>
    <x v="2"/>
    <x v="4"/>
    <x v="11"/>
    <x v="6"/>
    <n v="341805"/>
  </r>
  <r>
    <x v="2"/>
    <x v="4"/>
    <x v="54"/>
    <x v="6"/>
    <n v="69718"/>
  </r>
  <r>
    <x v="2"/>
    <x v="4"/>
    <x v="55"/>
    <x v="6"/>
    <s v="NA"/>
  </r>
  <r>
    <x v="2"/>
    <x v="4"/>
    <x v="56"/>
    <x v="6"/>
    <n v="21897"/>
  </r>
  <r>
    <x v="2"/>
    <x v="4"/>
    <x v="57"/>
    <x v="6"/>
    <s v="NA"/>
  </r>
  <r>
    <x v="2"/>
    <x v="5"/>
    <x v="58"/>
    <x v="6"/>
    <n v="38535"/>
  </r>
  <r>
    <x v="2"/>
    <x v="5"/>
    <x v="59"/>
    <x v="6"/>
    <n v="45438"/>
  </r>
  <r>
    <x v="2"/>
    <x v="5"/>
    <x v="60"/>
    <x v="6"/>
    <n v="26517"/>
  </r>
  <r>
    <x v="2"/>
    <x v="8"/>
    <x v="74"/>
    <x v="6"/>
    <n v="12426"/>
  </r>
  <r>
    <x v="2"/>
    <x v="7"/>
    <x v="62"/>
    <x v="6"/>
    <n v="44821"/>
  </r>
  <r>
    <x v="2"/>
    <x v="7"/>
    <x v="63"/>
    <x v="6"/>
    <n v="12995"/>
  </r>
  <r>
    <x v="2"/>
    <x v="7"/>
    <x v="64"/>
    <x v="6"/>
    <n v="998"/>
  </r>
  <r>
    <x v="3"/>
    <x v="0"/>
    <x v="65"/>
    <x v="6"/>
    <n v="216431"/>
  </r>
  <r>
    <x v="3"/>
    <x v="1"/>
    <x v="66"/>
    <x v="6"/>
    <n v="118342"/>
  </r>
  <r>
    <x v="3"/>
    <x v="1"/>
    <x v="67"/>
    <x v="6"/>
    <n v="8104"/>
  </r>
  <r>
    <x v="3"/>
    <x v="1"/>
    <x v="68"/>
    <x v="6"/>
    <n v="8958"/>
  </r>
  <r>
    <x v="3"/>
    <x v="1"/>
    <x v="69"/>
    <x v="6"/>
    <n v="24078"/>
  </r>
  <r>
    <x v="3"/>
    <x v="2"/>
    <x v="5"/>
    <x v="6"/>
    <n v="243009"/>
  </r>
  <r>
    <x v="3"/>
    <x v="3"/>
    <x v="53"/>
    <x v="6"/>
    <n v="84554"/>
  </r>
  <r>
    <x v="3"/>
    <x v="3"/>
    <x v="8"/>
    <x v="6"/>
    <n v="98723"/>
  </r>
  <r>
    <x v="3"/>
    <x v="4"/>
    <x v="70"/>
    <x v="6"/>
    <n v="118921"/>
  </r>
  <r>
    <x v="3"/>
    <x v="5"/>
    <x v="14"/>
    <x v="6"/>
    <n v="25657"/>
  </r>
  <r>
    <x v="3"/>
    <x v="8"/>
    <x v="72"/>
    <x v="6"/>
    <n v="39650"/>
  </r>
  <r>
    <x v="3"/>
    <x v="7"/>
    <x v="71"/>
    <x v="6"/>
    <n v="36528"/>
  </r>
  <r>
    <x v="0"/>
    <x v="0"/>
    <x v="0"/>
    <x v="7"/>
    <n v="2769931"/>
  </r>
  <r>
    <x v="0"/>
    <x v="1"/>
    <x v="1"/>
    <x v="7"/>
    <n v="3941267"/>
  </r>
  <r>
    <x v="0"/>
    <x v="1"/>
    <x v="2"/>
    <x v="7"/>
    <n v="96789"/>
  </r>
  <r>
    <x v="0"/>
    <x v="1"/>
    <x v="3"/>
    <x v="7"/>
    <n v="14885"/>
  </r>
  <r>
    <x v="0"/>
    <x v="1"/>
    <x v="4"/>
    <x v="7"/>
    <n v="159372"/>
  </r>
  <r>
    <x v="0"/>
    <x v="2"/>
    <x v="5"/>
    <x v="7"/>
    <n v="3692814"/>
  </r>
  <r>
    <x v="0"/>
    <x v="2"/>
    <x v="6"/>
    <x v="7"/>
    <n v="414907"/>
  </r>
  <r>
    <x v="0"/>
    <x v="2"/>
    <x v="7"/>
    <x v="7"/>
    <n v="211513"/>
  </r>
  <r>
    <x v="0"/>
    <x v="3"/>
    <x v="8"/>
    <x v="7"/>
    <n v="1205876"/>
  </r>
  <r>
    <x v="0"/>
    <x v="3"/>
    <x v="9"/>
    <x v="7"/>
    <n v="1142147"/>
  </r>
  <r>
    <x v="0"/>
    <x v="3"/>
    <x v="10"/>
    <x v="7"/>
    <n v="215693"/>
  </r>
  <r>
    <x v="0"/>
    <x v="4"/>
    <x v="11"/>
    <x v="7"/>
    <n v="1152196"/>
  </r>
  <r>
    <x v="0"/>
    <x v="4"/>
    <x v="12"/>
    <x v="7"/>
    <n v="191453"/>
  </r>
  <r>
    <x v="0"/>
    <x v="4"/>
    <x v="13"/>
    <x v="7"/>
    <m/>
  </r>
  <r>
    <x v="0"/>
    <x v="5"/>
    <x v="14"/>
    <x v="7"/>
    <n v="343275"/>
  </r>
  <r>
    <x v="0"/>
    <x v="8"/>
    <x v="72"/>
    <x v="7"/>
    <n v="353601"/>
  </r>
  <r>
    <x v="0"/>
    <x v="7"/>
    <x v="16"/>
    <x v="7"/>
    <n v="329481"/>
  </r>
  <r>
    <x v="1"/>
    <x v="0"/>
    <x v="0"/>
    <x v="7"/>
    <n v="2241791"/>
  </r>
  <r>
    <x v="1"/>
    <x v="0"/>
    <x v="17"/>
    <x v="7"/>
    <n v="347786"/>
  </r>
  <r>
    <x v="1"/>
    <x v="0"/>
    <x v="18"/>
    <x v="7"/>
    <n v="302435"/>
  </r>
  <r>
    <x v="1"/>
    <x v="0"/>
    <x v="19"/>
    <x v="7"/>
    <n v="653937"/>
  </r>
  <r>
    <x v="1"/>
    <x v="0"/>
    <x v="20"/>
    <x v="7"/>
    <n v="20590"/>
  </r>
  <r>
    <x v="1"/>
    <x v="1"/>
    <x v="1"/>
    <x v="7"/>
    <n v="575524"/>
  </r>
  <r>
    <x v="1"/>
    <x v="1"/>
    <x v="21"/>
    <x v="7"/>
    <n v="31093"/>
  </r>
  <r>
    <x v="1"/>
    <x v="2"/>
    <x v="5"/>
    <x v="7"/>
    <n v="367441"/>
  </r>
  <r>
    <x v="1"/>
    <x v="2"/>
    <x v="6"/>
    <x v="7"/>
    <n v="3283996"/>
  </r>
  <r>
    <x v="1"/>
    <x v="2"/>
    <x v="22"/>
    <x v="7"/>
    <n v="38041"/>
  </r>
  <r>
    <x v="1"/>
    <x v="3"/>
    <x v="8"/>
    <x v="7"/>
    <n v="3792508"/>
  </r>
  <r>
    <x v="1"/>
    <x v="3"/>
    <x v="23"/>
    <x v="7"/>
    <n v="14000"/>
  </r>
  <r>
    <x v="1"/>
    <x v="3"/>
    <x v="24"/>
    <x v="7"/>
    <n v="57631"/>
  </r>
  <r>
    <x v="1"/>
    <x v="4"/>
    <x v="11"/>
    <x v="7"/>
    <n v="1926731"/>
  </r>
  <r>
    <x v="1"/>
    <x v="4"/>
    <x v="25"/>
    <x v="7"/>
    <n v="106361"/>
  </r>
  <r>
    <x v="1"/>
    <x v="4"/>
    <x v="26"/>
    <x v="7"/>
    <m/>
  </r>
  <r>
    <x v="1"/>
    <x v="5"/>
    <x v="14"/>
    <x v="7"/>
    <n v="242333"/>
  </r>
  <r>
    <x v="1"/>
    <x v="5"/>
    <x v="27"/>
    <x v="7"/>
    <n v="14838"/>
  </r>
  <r>
    <x v="1"/>
    <x v="5"/>
    <x v="28"/>
    <x v="7"/>
    <n v="11457"/>
  </r>
  <r>
    <x v="1"/>
    <x v="5"/>
    <x v="29"/>
    <x v="7"/>
    <n v="7817"/>
  </r>
  <r>
    <x v="1"/>
    <x v="5"/>
    <x v="30"/>
    <x v="7"/>
    <n v="8331"/>
  </r>
  <r>
    <x v="1"/>
    <x v="5"/>
    <x v="31"/>
    <x v="7"/>
    <m/>
  </r>
  <r>
    <x v="1"/>
    <x v="8"/>
    <x v="72"/>
    <x v="7"/>
    <n v="84175"/>
  </r>
  <r>
    <x v="1"/>
    <x v="8"/>
    <x v="75"/>
    <x v="7"/>
    <n v="6431"/>
  </r>
  <r>
    <x v="1"/>
    <x v="8"/>
    <x v="76"/>
    <x v="7"/>
    <n v="9046"/>
  </r>
  <r>
    <x v="1"/>
    <x v="8"/>
    <x v="77"/>
    <x v="7"/>
    <n v="8545"/>
  </r>
  <r>
    <x v="1"/>
    <x v="8"/>
    <x v="78"/>
    <x v="7"/>
    <n v="10250"/>
  </r>
  <r>
    <x v="1"/>
    <x v="7"/>
    <x v="16"/>
    <x v="7"/>
    <n v="381010"/>
  </r>
  <r>
    <x v="1"/>
    <x v="7"/>
    <x v="36"/>
    <x v="7"/>
    <n v="5381"/>
  </r>
  <r>
    <x v="1"/>
    <x v="7"/>
    <x v="37"/>
    <x v="7"/>
    <n v="381010"/>
  </r>
  <r>
    <x v="1"/>
    <x v="7"/>
    <x v="38"/>
    <x v="7"/>
    <n v="4517"/>
  </r>
  <r>
    <x v="1"/>
    <x v="7"/>
    <x v="39"/>
    <x v="7"/>
    <n v="926"/>
  </r>
  <r>
    <x v="1"/>
    <x v="7"/>
    <x v="40"/>
    <x v="7"/>
    <n v="12335"/>
  </r>
  <r>
    <x v="2"/>
    <x v="0"/>
    <x v="0"/>
    <x v="7"/>
    <n v="876956"/>
  </r>
  <r>
    <x v="2"/>
    <x v="0"/>
    <x v="41"/>
    <x v="7"/>
    <n v="564801"/>
  </r>
  <r>
    <x v="2"/>
    <x v="0"/>
    <x v="42"/>
    <x v="7"/>
    <n v="132492"/>
  </r>
  <r>
    <x v="2"/>
    <x v="0"/>
    <x v="43"/>
    <x v="7"/>
    <n v="136769"/>
  </r>
  <r>
    <x v="2"/>
    <x v="0"/>
    <x v="44"/>
    <x v="7"/>
    <n v="157122"/>
  </r>
  <r>
    <x v="2"/>
    <x v="0"/>
    <x v="45"/>
    <x v="7"/>
    <n v="17846"/>
  </r>
  <r>
    <x v="2"/>
    <x v="1"/>
    <x v="1"/>
    <x v="7"/>
    <n v="206636"/>
  </r>
  <r>
    <x v="2"/>
    <x v="1"/>
    <x v="46"/>
    <x v="7"/>
    <n v="117742"/>
  </r>
  <r>
    <x v="2"/>
    <x v="1"/>
    <x v="2"/>
    <x v="7"/>
    <n v="47685"/>
  </r>
  <r>
    <x v="2"/>
    <x v="1"/>
    <x v="3"/>
    <x v="7"/>
    <n v="3413"/>
  </r>
  <r>
    <x v="2"/>
    <x v="1"/>
    <x v="47"/>
    <x v="7"/>
    <n v="7098"/>
  </r>
  <r>
    <x v="2"/>
    <x v="1"/>
    <x v="48"/>
    <x v="7"/>
    <n v="6955"/>
  </r>
  <r>
    <x v="2"/>
    <x v="1"/>
    <x v="49"/>
    <x v="7"/>
    <n v="39295"/>
  </r>
  <r>
    <x v="2"/>
    <x v="2"/>
    <x v="5"/>
    <x v="7"/>
    <n v="399029"/>
  </r>
  <r>
    <x v="2"/>
    <x v="2"/>
    <x v="50"/>
    <x v="7"/>
    <n v="183438"/>
  </r>
  <r>
    <x v="2"/>
    <x v="2"/>
    <x v="51"/>
    <x v="7"/>
    <n v="145723"/>
  </r>
  <r>
    <x v="2"/>
    <x v="3"/>
    <x v="8"/>
    <x v="7"/>
    <n v="915977"/>
  </r>
  <r>
    <x v="2"/>
    <x v="3"/>
    <x v="52"/>
    <x v="7"/>
    <n v="39297"/>
  </r>
  <r>
    <x v="2"/>
    <x v="3"/>
    <x v="53"/>
    <x v="7"/>
    <n v="419057"/>
  </r>
  <r>
    <x v="2"/>
    <x v="4"/>
    <x v="11"/>
    <x v="7"/>
    <n v="343367"/>
  </r>
  <r>
    <x v="2"/>
    <x v="4"/>
    <x v="54"/>
    <x v="7"/>
    <n v="69811"/>
  </r>
  <r>
    <x v="2"/>
    <x v="4"/>
    <x v="55"/>
    <x v="7"/>
    <m/>
  </r>
  <r>
    <x v="2"/>
    <x v="4"/>
    <x v="56"/>
    <x v="7"/>
    <n v="22021"/>
  </r>
  <r>
    <x v="2"/>
    <x v="4"/>
    <x v="57"/>
    <x v="7"/>
    <m/>
  </r>
  <r>
    <x v="2"/>
    <x v="5"/>
    <x v="58"/>
    <x v="7"/>
    <n v="38760"/>
  </r>
  <r>
    <x v="2"/>
    <x v="5"/>
    <x v="59"/>
    <x v="7"/>
    <n v="45679"/>
  </r>
  <r>
    <x v="2"/>
    <x v="5"/>
    <x v="60"/>
    <x v="7"/>
    <n v="26526"/>
  </r>
  <r>
    <x v="2"/>
    <x v="8"/>
    <x v="74"/>
    <x v="7"/>
    <n v="12938"/>
  </r>
  <r>
    <x v="2"/>
    <x v="7"/>
    <x v="62"/>
    <x v="7"/>
    <n v="44977"/>
  </r>
  <r>
    <x v="2"/>
    <x v="7"/>
    <x v="63"/>
    <x v="7"/>
    <n v="13040"/>
  </r>
  <r>
    <x v="2"/>
    <x v="7"/>
    <x v="64"/>
    <x v="7"/>
    <n v="1001"/>
  </r>
  <r>
    <x v="3"/>
    <x v="0"/>
    <x v="65"/>
    <x v="7"/>
    <n v="1005"/>
  </r>
  <r>
    <x v="3"/>
    <x v="1"/>
    <x v="66"/>
    <x v="7"/>
    <n v="221249"/>
  </r>
  <r>
    <x v="3"/>
    <x v="1"/>
    <x v="67"/>
    <x v="7"/>
    <n v="120184"/>
  </r>
  <r>
    <x v="3"/>
    <x v="1"/>
    <x v="68"/>
    <x v="7"/>
    <n v="9367"/>
  </r>
  <r>
    <x v="3"/>
    <x v="1"/>
    <x v="69"/>
    <x v="7"/>
    <n v="25324"/>
  </r>
  <r>
    <x v="3"/>
    <x v="2"/>
    <x v="5"/>
    <x v="7"/>
    <n v="245180"/>
  </r>
  <r>
    <x v="3"/>
    <x v="3"/>
    <x v="53"/>
    <x v="7"/>
    <n v="89295"/>
  </r>
  <r>
    <x v="3"/>
    <x v="3"/>
    <x v="8"/>
    <x v="7"/>
    <n v="102277"/>
  </r>
  <r>
    <x v="3"/>
    <x v="4"/>
    <x v="70"/>
    <x v="7"/>
    <n v="120166"/>
  </r>
  <r>
    <x v="3"/>
    <x v="5"/>
    <x v="14"/>
    <x v="7"/>
    <n v="25937"/>
  </r>
  <r>
    <x v="3"/>
    <x v="8"/>
    <x v="72"/>
    <x v="7"/>
    <n v="40226"/>
  </r>
  <r>
    <x v="3"/>
    <x v="7"/>
    <x v="71"/>
    <x v="7"/>
    <n v="37269"/>
  </r>
  <r>
    <x v="0"/>
    <x v="0"/>
    <x v="0"/>
    <x v="8"/>
    <n v="2769844"/>
  </r>
  <r>
    <x v="0"/>
    <x v="1"/>
    <x v="1"/>
    <x v="8"/>
    <n v="3941402"/>
  </r>
  <r>
    <x v="0"/>
    <x v="1"/>
    <x v="2"/>
    <x v="8"/>
    <n v="97107"/>
  </r>
  <r>
    <x v="0"/>
    <x v="1"/>
    <x v="3"/>
    <x v="8"/>
    <n v="14914"/>
  </r>
  <r>
    <x v="0"/>
    <x v="1"/>
    <x v="4"/>
    <x v="8"/>
    <n v="159419"/>
  </r>
  <r>
    <x v="0"/>
    <x v="2"/>
    <x v="5"/>
    <x v="8"/>
    <n v="3695549"/>
  </r>
  <r>
    <x v="0"/>
    <x v="2"/>
    <x v="6"/>
    <x v="8"/>
    <n v="417581"/>
  </r>
  <r>
    <x v="0"/>
    <x v="2"/>
    <x v="7"/>
    <x v="8"/>
    <n v="211383"/>
  </r>
  <r>
    <x v="0"/>
    <x v="3"/>
    <x v="8"/>
    <x v="8"/>
    <n v="1208684"/>
  </r>
  <r>
    <x v="0"/>
    <x v="3"/>
    <x v="9"/>
    <x v="8"/>
    <n v="1142529"/>
  </r>
  <r>
    <x v="0"/>
    <x v="3"/>
    <x v="10"/>
    <x v="8"/>
    <n v="215949"/>
  </r>
  <r>
    <x v="0"/>
    <x v="4"/>
    <x v="11"/>
    <x v="8"/>
    <n v="1156046"/>
  </r>
  <r>
    <x v="0"/>
    <x v="4"/>
    <x v="12"/>
    <x v="8"/>
    <n v="191368"/>
  </r>
  <r>
    <x v="0"/>
    <x v="4"/>
    <x v="13"/>
    <x v="8"/>
    <m/>
  </r>
  <r>
    <x v="0"/>
    <x v="5"/>
    <x v="14"/>
    <x v="8"/>
    <n v="344400"/>
  </r>
  <r>
    <x v="0"/>
    <x v="8"/>
    <x v="72"/>
    <x v="8"/>
    <n v="354647"/>
  </r>
  <r>
    <x v="0"/>
    <x v="7"/>
    <x v="16"/>
    <x v="8"/>
    <n v="330705"/>
  </r>
  <r>
    <x v="1"/>
    <x v="0"/>
    <x v="0"/>
    <x v="8"/>
    <n v="2285112"/>
  </r>
  <r>
    <x v="1"/>
    <x v="0"/>
    <x v="17"/>
    <x v="8"/>
    <n v="349804"/>
  </r>
  <r>
    <x v="1"/>
    <x v="0"/>
    <x v="18"/>
    <x v="8"/>
    <n v="305074"/>
  </r>
  <r>
    <x v="1"/>
    <x v="0"/>
    <x v="19"/>
    <x v="8"/>
    <n v="661474"/>
  </r>
  <r>
    <x v="1"/>
    <x v="0"/>
    <x v="20"/>
    <x v="8"/>
    <n v="20866"/>
  </r>
  <r>
    <x v="1"/>
    <x v="1"/>
    <x v="1"/>
    <x v="8"/>
    <n v="587006"/>
  </r>
  <r>
    <x v="1"/>
    <x v="1"/>
    <x v="21"/>
    <x v="8"/>
    <n v="31434"/>
  </r>
  <r>
    <x v="1"/>
    <x v="2"/>
    <x v="5"/>
    <x v="8"/>
    <n v="372926"/>
  </r>
  <r>
    <x v="1"/>
    <x v="2"/>
    <x v="6"/>
    <x v="8"/>
    <n v="3380306"/>
  </r>
  <r>
    <x v="1"/>
    <x v="2"/>
    <x v="22"/>
    <x v="8"/>
    <n v="38447"/>
  </r>
  <r>
    <x v="1"/>
    <x v="3"/>
    <x v="8"/>
    <x v="8"/>
    <n v="3840034"/>
  </r>
  <r>
    <x v="1"/>
    <x v="3"/>
    <x v="23"/>
    <x v="8"/>
    <n v="14145"/>
  </r>
  <r>
    <x v="1"/>
    <x v="3"/>
    <x v="24"/>
    <x v="8"/>
    <n v="59614"/>
  </r>
  <r>
    <x v="1"/>
    <x v="4"/>
    <x v="11"/>
    <x v="8"/>
    <n v="1968203"/>
  </r>
  <r>
    <x v="1"/>
    <x v="4"/>
    <x v="25"/>
    <x v="8"/>
    <n v="108180"/>
  </r>
  <r>
    <x v="1"/>
    <x v="4"/>
    <x v="26"/>
    <x v="8"/>
    <m/>
  </r>
  <r>
    <x v="1"/>
    <x v="5"/>
    <x v="14"/>
    <x v="8"/>
    <n v="246875"/>
  </r>
  <r>
    <x v="1"/>
    <x v="5"/>
    <x v="27"/>
    <x v="8"/>
    <n v="15500"/>
  </r>
  <r>
    <x v="1"/>
    <x v="5"/>
    <x v="28"/>
    <x v="8"/>
    <n v="11635"/>
  </r>
  <r>
    <x v="1"/>
    <x v="5"/>
    <x v="29"/>
    <x v="8"/>
    <n v="7982"/>
  </r>
  <r>
    <x v="1"/>
    <x v="5"/>
    <x v="30"/>
    <x v="8"/>
    <n v="8572"/>
  </r>
  <r>
    <x v="1"/>
    <x v="5"/>
    <x v="31"/>
    <x v="8"/>
    <m/>
  </r>
  <r>
    <x v="1"/>
    <x v="8"/>
    <x v="72"/>
    <x v="8"/>
    <n v="87644"/>
  </r>
  <r>
    <x v="1"/>
    <x v="8"/>
    <x v="75"/>
    <x v="8"/>
    <n v="6986"/>
  </r>
  <r>
    <x v="1"/>
    <x v="8"/>
    <x v="76"/>
    <x v="8"/>
    <n v="9248"/>
  </r>
  <r>
    <x v="1"/>
    <x v="8"/>
    <x v="77"/>
    <x v="8"/>
    <n v="8942"/>
  </r>
  <r>
    <x v="1"/>
    <x v="8"/>
    <x v="78"/>
    <x v="8"/>
    <n v="10427"/>
  </r>
  <r>
    <x v="1"/>
    <x v="7"/>
    <x v="16"/>
    <x v="8"/>
    <n v="386709"/>
  </r>
  <r>
    <x v="1"/>
    <x v="7"/>
    <x v="36"/>
    <x v="8"/>
    <n v="5522"/>
  </r>
  <r>
    <x v="1"/>
    <x v="7"/>
    <x v="37"/>
    <x v="8"/>
    <n v="386709"/>
  </r>
  <r>
    <x v="1"/>
    <x v="7"/>
    <x v="38"/>
    <x v="8"/>
    <n v="4681"/>
  </r>
  <r>
    <x v="1"/>
    <x v="7"/>
    <x v="39"/>
    <x v="8"/>
    <n v="945"/>
  </r>
  <r>
    <x v="1"/>
    <x v="7"/>
    <x v="40"/>
    <x v="8"/>
    <n v="12810"/>
  </r>
  <r>
    <x v="2"/>
    <x v="0"/>
    <x v="0"/>
    <x v="8"/>
    <n v="887160"/>
  </r>
  <r>
    <x v="2"/>
    <x v="0"/>
    <x v="41"/>
    <x v="8"/>
    <n v="564619"/>
  </r>
  <r>
    <x v="2"/>
    <x v="0"/>
    <x v="42"/>
    <x v="8"/>
    <n v="133001"/>
  </r>
  <r>
    <x v="2"/>
    <x v="0"/>
    <x v="43"/>
    <x v="8"/>
    <n v="137005"/>
  </r>
  <r>
    <x v="2"/>
    <x v="0"/>
    <x v="44"/>
    <x v="8"/>
    <n v="156838"/>
  </r>
  <r>
    <x v="2"/>
    <x v="0"/>
    <x v="45"/>
    <x v="8"/>
    <n v="17924"/>
  </r>
  <r>
    <x v="2"/>
    <x v="1"/>
    <x v="1"/>
    <x v="8"/>
    <n v="207777"/>
  </r>
  <r>
    <x v="2"/>
    <x v="1"/>
    <x v="46"/>
    <x v="8"/>
    <n v="117960"/>
  </r>
  <r>
    <x v="2"/>
    <x v="1"/>
    <x v="2"/>
    <x v="8"/>
    <n v="47597"/>
  </r>
  <r>
    <x v="2"/>
    <x v="1"/>
    <x v="3"/>
    <x v="8"/>
    <n v="3421"/>
  </r>
  <r>
    <x v="2"/>
    <x v="1"/>
    <x v="47"/>
    <x v="8"/>
    <n v="7157"/>
  </r>
  <r>
    <x v="2"/>
    <x v="1"/>
    <x v="48"/>
    <x v="8"/>
    <n v="6948"/>
  </r>
  <r>
    <x v="2"/>
    <x v="1"/>
    <x v="49"/>
    <x v="8"/>
    <n v="39231"/>
  </r>
  <r>
    <x v="2"/>
    <x v="2"/>
    <x v="5"/>
    <x v="8"/>
    <n v="399912"/>
  </r>
  <r>
    <x v="2"/>
    <x v="2"/>
    <x v="50"/>
    <x v="8"/>
    <n v="183185"/>
  </r>
  <r>
    <x v="2"/>
    <x v="2"/>
    <x v="51"/>
    <x v="8"/>
    <n v="146281"/>
  </r>
  <r>
    <x v="2"/>
    <x v="3"/>
    <x v="8"/>
    <x v="8"/>
    <n v="915808"/>
  </r>
  <r>
    <x v="2"/>
    <x v="3"/>
    <x v="52"/>
    <x v="8"/>
    <n v="39490"/>
  </r>
  <r>
    <x v="2"/>
    <x v="3"/>
    <x v="53"/>
    <x v="8"/>
    <n v="419629"/>
  </r>
  <r>
    <x v="2"/>
    <x v="4"/>
    <x v="11"/>
    <x v="8"/>
    <n v="344245"/>
  </r>
  <r>
    <x v="2"/>
    <x v="4"/>
    <x v="54"/>
    <x v="8"/>
    <n v="69828"/>
  </r>
  <r>
    <x v="2"/>
    <x v="4"/>
    <x v="55"/>
    <x v="8"/>
    <m/>
  </r>
  <r>
    <x v="2"/>
    <x v="4"/>
    <x v="56"/>
    <x v="8"/>
    <n v="22027"/>
  </r>
  <r>
    <x v="2"/>
    <x v="4"/>
    <x v="57"/>
    <x v="8"/>
    <m/>
  </r>
  <r>
    <x v="2"/>
    <x v="5"/>
    <x v="58"/>
    <x v="8"/>
    <n v="39085"/>
  </r>
  <r>
    <x v="2"/>
    <x v="5"/>
    <x v="59"/>
    <x v="8"/>
    <n v="45837"/>
  </r>
  <r>
    <x v="2"/>
    <x v="5"/>
    <x v="60"/>
    <x v="8"/>
    <n v="26535"/>
  </r>
  <r>
    <x v="2"/>
    <x v="8"/>
    <x v="74"/>
    <x v="8"/>
    <n v="13274"/>
  </r>
  <r>
    <x v="2"/>
    <x v="7"/>
    <x v="62"/>
    <x v="8"/>
    <n v="45075"/>
  </r>
  <r>
    <x v="2"/>
    <x v="7"/>
    <x v="63"/>
    <x v="8"/>
    <n v="13070"/>
  </r>
  <r>
    <x v="2"/>
    <x v="7"/>
    <x v="64"/>
    <x v="8"/>
    <n v="1004"/>
  </r>
  <r>
    <x v="3"/>
    <x v="0"/>
    <x v="65"/>
    <x v="8"/>
    <n v="226873"/>
  </r>
  <r>
    <x v="3"/>
    <x v="1"/>
    <x v="66"/>
    <x v="8"/>
    <n v="122938"/>
  </r>
  <r>
    <x v="3"/>
    <x v="1"/>
    <x v="67"/>
    <x v="8"/>
    <n v="9046"/>
  </r>
  <r>
    <x v="3"/>
    <x v="1"/>
    <x v="68"/>
    <x v="8"/>
    <n v="9781"/>
  </r>
  <r>
    <x v="3"/>
    <x v="1"/>
    <x v="69"/>
    <x v="8"/>
    <n v="26668"/>
  </r>
  <r>
    <x v="3"/>
    <x v="2"/>
    <x v="5"/>
    <x v="8"/>
    <n v="246657"/>
  </r>
  <r>
    <x v="3"/>
    <x v="3"/>
    <x v="53"/>
    <x v="8"/>
    <n v="96804"/>
  </r>
  <r>
    <x v="3"/>
    <x v="3"/>
    <x v="8"/>
    <x v="8"/>
    <n v="105421"/>
  </r>
  <r>
    <x v="3"/>
    <x v="4"/>
    <x v="70"/>
    <x v="8"/>
    <n v="120698"/>
  </r>
  <r>
    <x v="3"/>
    <x v="5"/>
    <x v="14"/>
    <x v="8"/>
    <n v="26938"/>
  </r>
  <r>
    <x v="3"/>
    <x v="8"/>
    <x v="72"/>
    <x v="8"/>
    <n v="40939"/>
  </r>
  <r>
    <x v="3"/>
    <x v="7"/>
    <x v="71"/>
    <x v="8"/>
    <n v="38748"/>
  </r>
  <r>
    <x v="0"/>
    <x v="0"/>
    <x v="0"/>
    <x v="9"/>
    <n v="2760730"/>
  </r>
  <r>
    <x v="0"/>
    <x v="1"/>
    <x v="1"/>
    <x v="9"/>
    <n v="3934914"/>
  </r>
  <r>
    <x v="0"/>
    <x v="1"/>
    <x v="2"/>
    <x v="9"/>
    <n v="96939"/>
  </r>
  <r>
    <x v="0"/>
    <x v="1"/>
    <x v="3"/>
    <x v="9"/>
    <n v="14493"/>
  </r>
  <r>
    <x v="0"/>
    <x v="1"/>
    <x v="4"/>
    <x v="9"/>
    <n v="159077"/>
  </r>
  <r>
    <x v="0"/>
    <x v="2"/>
    <x v="5"/>
    <x v="9"/>
    <n v="3693605"/>
  </r>
  <r>
    <x v="0"/>
    <x v="2"/>
    <x v="6"/>
    <x v="9"/>
    <n v="419210"/>
  </r>
  <r>
    <x v="0"/>
    <x v="2"/>
    <x v="7"/>
    <x v="9"/>
    <n v="211153"/>
  </r>
  <r>
    <x v="0"/>
    <x v="3"/>
    <x v="8"/>
    <x v="9"/>
    <n v="1206979"/>
  </r>
  <r>
    <x v="0"/>
    <x v="3"/>
    <x v="9"/>
    <x v="9"/>
    <n v="1139664"/>
  </r>
  <r>
    <x v="0"/>
    <x v="3"/>
    <x v="10"/>
    <x v="9"/>
    <n v="215900"/>
  </r>
  <r>
    <x v="0"/>
    <x v="4"/>
    <x v="11"/>
    <x v="9"/>
    <n v="1155099"/>
  </r>
  <r>
    <x v="0"/>
    <x v="4"/>
    <x v="12"/>
    <x v="9"/>
    <n v="190798"/>
  </r>
  <r>
    <x v="0"/>
    <x v="4"/>
    <x v="13"/>
    <x v="9"/>
    <s v="NA"/>
  </r>
  <r>
    <x v="0"/>
    <x v="5"/>
    <x v="14"/>
    <x v="9"/>
    <n v="344587"/>
  </r>
  <r>
    <x v="0"/>
    <x v="8"/>
    <x v="72"/>
    <x v="9"/>
    <n v="354406"/>
  </r>
  <r>
    <x v="0"/>
    <x v="7"/>
    <x v="16"/>
    <x v="9"/>
    <n v="330632"/>
  </r>
  <r>
    <x v="1"/>
    <x v="0"/>
    <x v="0"/>
    <x v="9"/>
    <n v="2317880"/>
  </r>
  <r>
    <x v="1"/>
    <x v="0"/>
    <x v="17"/>
    <x v="9"/>
    <n v="351596"/>
  </r>
  <r>
    <x v="1"/>
    <x v="0"/>
    <x v="18"/>
    <x v="9"/>
    <n v="307216"/>
  </r>
  <r>
    <x v="1"/>
    <x v="0"/>
    <x v="19"/>
    <x v="9"/>
    <n v="666196"/>
  </r>
  <r>
    <x v="1"/>
    <x v="0"/>
    <x v="20"/>
    <x v="9"/>
    <n v="21072"/>
  </r>
  <r>
    <x v="1"/>
    <x v="1"/>
    <x v="1"/>
    <x v="9"/>
    <n v="594832"/>
  </r>
  <r>
    <x v="1"/>
    <x v="1"/>
    <x v="21"/>
    <x v="9"/>
    <n v="31719"/>
  </r>
  <r>
    <x v="1"/>
    <x v="2"/>
    <x v="5"/>
    <x v="9"/>
    <n v="377396"/>
  </r>
  <r>
    <x v="1"/>
    <x v="2"/>
    <x v="6"/>
    <x v="9"/>
    <n v="3455705"/>
  </r>
  <r>
    <x v="1"/>
    <x v="2"/>
    <x v="22"/>
    <x v="9"/>
    <n v="38754"/>
  </r>
  <r>
    <x v="1"/>
    <x v="3"/>
    <x v="8"/>
    <x v="9"/>
    <n v="3873456"/>
  </r>
  <r>
    <x v="1"/>
    <x v="3"/>
    <x v="23"/>
    <x v="9"/>
    <n v="14265"/>
  </r>
  <r>
    <x v="1"/>
    <x v="3"/>
    <x v="24"/>
    <x v="9"/>
    <n v="61422"/>
  </r>
  <r>
    <x v="1"/>
    <x v="4"/>
    <x v="11"/>
    <x v="9"/>
    <n v="1999645"/>
  </r>
  <r>
    <x v="1"/>
    <x v="4"/>
    <x v="25"/>
    <x v="9"/>
    <n v="110090"/>
  </r>
  <r>
    <x v="1"/>
    <x v="4"/>
    <x v="26"/>
    <x v="9"/>
    <s v="NA"/>
  </r>
  <r>
    <x v="1"/>
    <x v="5"/>
    <x v="14"/>
    <x v="9"/>
    <n v="251546"/>
  </r>
  <r>
    <x v="1"/>
    <x v="5"/>
    <x v="27"/>
    <x v="9"/>
    <n v="16222"/>
  </r>
  <r>
    <x v="1"/>
    <x v="5"/>
    <x v="28"/>
    <x v="9"/>
    <n v="11814"/>
  </r>
  <r>
    <x v="1"/>
    <x v="5"/>
    <x v="29"/>
    <x v="9"/>
    <n v="8249"/>
  </r>
  <r>
    <x v="1"/>
    <x v="5"/>
    <x v="30"/>
    <x v="9"/>
    <n v="8802"/>
  </r>
  <r>
    <x v="1"/>
    <x v="5"/>
    <x v="31"/>
    <x v="9"/>
    <s v="NA"/>
  </r>
  <r>
    <x v="1"/>
    <x v="8"/>
    <x v="72"/>
    <x v="9"/>
    <n v="90184"/>
  </r>
  <r>
    <x v="1"/>
    <x v="8"/>
    <x v="75"/>
    <x v="9"/>
    <n v="7513"/>
  </r>
  <r>
    <x v="1"/>
    <x v="8"/>
    <x v="76"/>
    <x v="9"/>
    <n v="9386"/>
  </r>
  <r>
    <x v="1"/>
    <x v="8"/>
    <x v="77"/>
    <x v="9"/>
    <n v="9191"/>
  </r>
  <r>
    <x v="1"/>
    <x v="8"/>
    <x v="78"/>
    <x v="9"/>
    <n v="10557"/>
  </r>
  <r>
    <x v="1"/>
    <x v="7"/>
    <x v="16"/>
    <x v="9"/>
    <n v="391902"/>
  </r>
  <r>
    <x v="1"/>
    <x v="7"/>
    <x v="36"/>
    <x v="9"/>
    <n v="5619"/>
  </r>
  <r>
    <x v="1"/>
    <x v="7"/>
    <x v="37"/>
    <x v="9"/>
    <n v="391902"/>
  </r>
  <r>
    <x v="1"/>
    <x v="7"/>
    <x v="38"/>
    <x v="9"/>
    <n v="4864"/>
  </r>
  <r>
    <x v="1"/>
    <x v="7"/>
    <x v="39"/>
    <x v="9"/>
    <n v="961"/>
  </r>
  <r>
    <x v="1"/>
    <x v="7"/>
    <x v="40"/>
    <x v="9"/>
    <n v="13225"/>
  </r>
  <r>
    <x v="2"/>
    <x v="0"/>
    <x v="0"/>
    <x v="9"/>
    <n v="954255"/>
  </r>
  <r>
    <x v="2"/>
    <x v="0"/>
    <x v="41"/>
    <x v="9"/>
    <n v="565953"/>
  </r>
  <r>
    <x v="2"/>
    <x v="0"/>
    <x v="42"/>
    <x v="9"/>
    <n v="133569"/>
  </r>
  <r>
    <x v="2"/>
    <x v="0"/>
    <x v="43"/>
    <x v="9"/>
    <n v="137262"/>
  </r>
  <r>
    <x v="2"/>
    <x v="0"/>
    <x v="44"/>
    <x v="9"/>
    <n v="156664"/>
  </r>
  <r>
    <x v="2"/>
    <x v="0"/>
    <x v="45"/>
    <x v="9"/>
    <n v="17997"/>
  </r>
  <r>
    <x v="2"/>
    <x v="1"/>
    <x v="1"/>
    <x v="9"/>
    <n v="209144"/>
  </r>
  <r>
    <x v="2"/>
    <x v="1"/>
    <x v="46"/>
    <x v="9"/>
    <n v="118097"/>
  </r>
  <r>
    <x v="2"/>
    <x v="1"/>
    <x v="2"/>
    <x v="9"/>
    <n v="47569"/>
  </r>
  <r>
    <x v="2"/>
    <x v="1"/>
    <x v="3"/>
    <x v="9"/>
    <n v="3429"/>
  </r>
  <r>
    <x v="2"/>
    <x v="1"/>
    <x v="47"/>
    <x v="9"/>
    <n v="7164"/>
  </r>
  <r>
    <x v="2"/>
    <x v="1"/>
    <x v="48"/>
    <x v="9"/>
    <n v="6953"/>
  </r>
  <r>
    <x v="2"/>
    <x v="1"/>
    <x v="49"/>
    <x v="9"/>
    <n v="39205"/>
  </r>
  <r>
    <x v="2"/>
    <x v="2"/>
    <x v="5"/>
    <x v="9"/>
    <n v="401347"/>
  </r>
  <r>
    <x v="2"/>
    <x v="2"/>
    <x v="50"/>
    <x v="9"/>
    <n v="182984"/>
  </r>
  <r>
    <x v="2"/>
    <x v="2"/>
    <x v="51"/>
    <x v="9"/>
    <n v="146675"/>
  </r>
  <r>
    <x v="2"/>
    <x v="3"/>
    <x v="8"/>
    <x v="9"/>
    <n v="916288"/>
  </r>
  <r>
    <x v="2"/>
    <x v="3"/>
    <x v="52"/>
    <x v="9"/>
    <n v="39578"/>
  </r>
  <r>
    <x v="2"/>
    <x v="3"/>
    <x v="53"/>
    <x v="9"/>
    <n v="421083"/>
  </r>
  <r>
    <x v="2"/>
    <x v="4"/>
    <x v="11"/>
    <x v="9"/>
    <n v="345838"/>
  </r>
  <r>
    <x v="2"/>
    <x v="4"/>
    <x v="54"/>
    <x v="9"/>
    <n v="70012"/>
  </r>
  <r>
    <x v="2"/>
    <x v="4"/>
    <x v="55"/>
    <x v="9"/>
    <s v="NA"/>
  </r>
  <r>
    <x v="2"/>
    <x v="4"/>
    <x v="56"/>
    <x v="9"/>
    <n v="22007"/>
  </r>
  <r>
    <x v="2"/>
    <x v="4"/>
    <x v="57"/>
    <x v="9"/>
    <s v="NA"/>
  </r>
  <r>
    <x v="2"/>
    <x v="5"/>
    <x v="58"/>
    <x v="9"/>
    <n v="39326"/>
  </r>
  <r>
    <x v="2"/>
    <x v="5"/>
    <x v="59"/>
    <x v="9"/>
    <n v="45962"/>
  </r>
  <r>
    <x v="2"/>
    <x v="5"/>
    <x v="60"/>
    <x v="9"/>
    <n v="26543"/>
  </r>
  <r>
    <x v="2"/>
    <x v="8"/>
    <x v="74"/>
    <x v="9"/>
    <n v="13474"/>
  </r>
  <r>
    <x v="2"/>
    <x v="7"/>
    <x v="62"/>
    <x v="9"/>
    <n v="45106"/>
  </r>
  <r>
    <x v="2"/>
    <x v="7"/>
    <x v="63"/>
    <x v="9"/>
    <n v="13083"/>
  </r>
  <r>
    <x v="2"/>
    <x v="7"/>
    <x v="64"/>
    <x v="9"/>
    <n v="1006"/>
  </r>
  <r>
    <x v="3"/>
    <x v="0"/>
    <x v="65"/>
    <x v="9"/>
    <n v="233176"/>
  </r>
  <r>
    <x v="3"/>
    <x v="1"/>
    <x v="66"/>
    <x v="9"/>
    <n v="126415"/>
  </r>
  <r>
    <x v="3"/>
    <x v="1"/>
    <x v="67"/>
    <x v="9"/>
    <n v="9821"/>
  </r>
  <r>
    <x v="3"/>
    <x v="1"/>
    <x v="68"/>
    <x v="9"/>
    <n v="11711"/>
  </r>
  <r>
    <x v="3"/>
    <x v="1"/>
    <x v="69"/>
    <x v="9"/>
    <n v="30120"/>
  </r>
  <r>
    <x v="3"/>
    <x v="2"/>
    <x v="5"/>
    <x v="9"/>
    <n v="249721"/>
  </r>
  <r>
    <x v="3"/>
    <x v="3"/>
    <x v="53"/>
    <x v="9"/>
    <n v="101512"/>
  </r>
  <r>
    <x v="3"/>
    <x v="3"/>
    <x v="8"/>
    <x v="9"/>
    <n v="108438"/>
  </r>
  <r>
    <x v="3"/>
    <x v="4"/>
    <x v="70"/>
    <x v="9"/>
    <n v="121919"/>
  </r>
  <r>
    <x v="3"/>
    <x v="5"/>
    <x v="14"/>
    <x v="9"/>
    <n v="28106"/>
  </r>
  <r>
    <x v="3"/>
    <x v="8"/>
    <x v="72"/>
    <x v="9"/>
    <n v="41750"/>
  </r>
  <r>
    <x v="3"/>
    <x v="7"/>
    <x v="71"/>
    <x v="9"/>
    <n v="40505"/>
  </r>
  <r>
    <x v="0"/>
    <x v="0"/>
    <x v="0"/>
    <x v="10"/>
    <n v="2762446"/>
  </r>
  <r>
    <x v="0"/>
    <x v="1"/>
    <x v="1"/>
    <x v="10"/>
    <n v="3935889"/>
  </r>
  <r>
    <x v="0"/>
    <x v="1"/>
    <x v="2"/>
    <x v="10"/>
    <n v="97144"/>
  </r>
  <r>
    <x v="0"/>
    <x v="1"/>
    <x v="3"/>
    <x v="10"/>
    <n v="14973"/>
  </r>
  <r>
    <x v="0"/>
    <x v="1"/>
    <x v="4"/>
    <x v="10"/>
    <n v="159333"/>
  </r>
  <r>
    <x v="0"/>
    <x v="2"/>
    <x v="5"/>
    <x v="10"/>
    <n v="3694207"/>
  </r>
  <r>
    <x v="0"/>
    <x v="2"/>
    <x v="6"/>
    <x v="10"/>
    <n v="420732"/>
  </r>
  <r>
    <x v="0"/>
    <x v="2"/>
    <x v="7"/>
    <x v="10"/>
    <n v="211000"/>
  </r>
  <r>
    <x v="0"/>
    <x v="3"/>
    <x v="8"/>
    <x v="10"/>
    <n v="1208969"/>
  </r>
  <r>
    <x v="0"/>
    <x v="3"/>
    <x v="9"/>
    <x v="10"/>
    <n v="1140596"/>
  </r>
  <r>
    <x v="0"/>
    <x v="3"/>
    <x v="10"/>
    <x v="10"/>
    <n v="215971"/>
  </r>
  <r>
    <x v="0"/>
    <x v="4"/>
    <x v="11"/>
    <x v="10"/>
    <n v="1157926"/>
  </r>
  <r>
    <x v="0"/>
    <x v="4"/>
    <x v="12"/>
    <x v="10"/>
    <n v="190639"/>
  </r>
  <r>
    <x v="0"/>
    <x v="4"/>
    <x v="13"/>
    <x v="10"/>
    <m/>
  </r>
  <r>
    <x v="0"/>
    <x v="5"/>
    <x v="14"/>
    <x v="10"/>
    <n v="345271"/>
  </r>
  <r>
    <x v="0"/>
    <x v="8"/>
    <x v="72"/>
    <x v="10"/>
    <n v="354743"/>
  </r>
  <r>
    <x v="0"/>
    <x v="7"/>
    <x v="16"/>
    <x v="10"/>
    <n v="331464"/>
  </r>
  <r>
    <x v="1"/>
    <x v="0"/>
    <x v="0"/>
    <x v="10"/>
    <n v="2346689"/>
  </r>
  <r>
    <x v="1"/>
    <x v="0"/>
    <x v="17"/>
    <x v="10"/>
    <n v="353163"/>
  </r>
  <r>
    <x v="1"/>
    <x v="0"/>
    <x v="18"/>
    <x v="10"/>
    <n v="309907"/>
  </r>
  <r>
    <x v="1"/>
    <x v="0"/>
    <x v="19"/>
    <x v="10"/>
    <n v="670318"/>
  </r>
  <r>
    <x v="1"/>
    <x v="0"/>
    <x v="20"/>
    <x v="10"/>
    <n v="21265"/>
  </r>
  <r>
    <x v="1"/>
    <x v="1"/>
    <x v="1"/>
    <x v="10"/>
    <n v="601169"/>
  </r>
  <r>
    <x v="1"/>
    <x v="1"/>
    <x v="21"/>
    <x v="10"/>
    <n v="32013"/>
  </r>
  <r>
    <x v="1"/>
    <x v="2"/>
    <x v="5"/>
    <x v="10"/>
    <n v="381531"/>
  </r>
  <r>
    <x v="1"/>
    <x v="2"/>
    <x v="6"/>
    <x v="10"/>
    <n v="3516482"/>
  </r>
  <r>
    <x v="1"/>
    <x v="2"/>
    <x v="22"/>
    <x v="10"/>
    <n v="39061"/>
  </r>
  <r>
    <x v="1"/>
    <x v="3"/>
    <x v="8"/>
    <x v="10"/>
    <n v="3905209"/>
  </r>
  <r>
    <x v="1"/>
    <x v="3"/>
    <x v="23"/>
    <x v="10"/>
    <n v="14384"/>
  </r>
  <r>
    <x v="1"/>
    <x v="3"/>
    <x v="24"/>
    <x v="10"/>
    <n v="63026"/>
  </r>
  <r>
    <x v="1"/>
    <x v="4"/>
    <x v="11"/>
    <x v="10"/>
    <n v="2028070"/>
  </r>
  <r>
    <x v="1"/>
    <x v="4"/>
    <x v="25"/>
    <x v="10"/>
    <n v="112150"/>
  </r>
  <r>
    <x v="1"/>
    <x v="4"/>
    <x v="26"/>
    <x v="10"/>
    <m/>
  </r>
  <r>
    <x v="1"/>
    <x v="5"/>
    <x v="14"/>
    <x v="10"/>
    <n v="255554"/>
  </r>
  <r>
    <x v="1"/>
    <x v="5"/>
    <x v="27"/>
    <x v="10"/>
    <n v="16715"/>
  </r>
  <r>
    <x v="1"/>
    <x v="5"/>
    <x v="28"/>
    <x v="10"/>
    <n v="11982"/>
  </r>
  <r>
    <x v="1"/>
    <x v="5"/>
    <x v="29"/>
    <x v="10"/>
    <n v="8553"/>
  </r>
  <r>
    <x v="1"/>
    <x v="5"/>
    <x v="30"/>
    <x v="10"/>
    <n v="9025"/>
  </r>
  <r>
    <x v="1"/>
    <x v="5"/>
    <x v="31"/>
    <x v="10"/>
    <m/>
  </r>
  <r>
    <x v="1"/>
    <x v="8"/>
    <x v="72"/>
    <x v="10"/>
    <n v="92433"/>
  </r>
  <r>
    <x v="1"/>
    <x v="8"/>
    <x v="75"/>
    <x v="10"/>
    <n v="8125"/>
  </r>
  <r>
    <x v="1"/>
    <x v="8"/>
    <x v="76"/>
    <x v="10"/>
    <n v="9475"/>
  </r>
  <r>
    <x v="1"/>
    <x v="8"/>
    <x v="77"/>
    <x v="10"/>
    <n v="9493"/>
  </r>
  <r>
    <x v="1"/>
    <x v="8"/>
    <x v="78"/>
    <x v="10"/>
    <n v="10677"/>
  </r>
  <r>
    <x v="1"/>
    <x v="7"/>
    <x v="16"/>
    <x v="10"/>
    <n v="397841"/>
  </r>
  <r>
    <x v="1"/>
    <x v="7"/>
    <x v="36"/>
    <x v="10"/>
    <n v="5750"/>
  </r>
  <r>
    <x v="1"/>
    <x v="7"/>
    <x v="37"/>
    <x v="10"/>
    <n v="397841"/>
  </r>
  <r>
    <x v="1"/>
    <x v="7"/>
    <x v="38"/>
    <x v="10"/>
    <n v="5081"/>
  </r>
  <r>
    <x v="1"/>
    <x v="7"/>
    <x v="39"/>
    <x v="10"/>
    <n v="987"/>
  </r>
  <r>
    <x v="1"/>
    <x v="7"/>
    <x v="40"/>
    <x v="10"/>
    <n v="13613"/>
  </r>
  <r>
    <x v="2"/>
    <x v="0"/>
    <x v="0"/>
    <x v="10"/>
    <n v="947958"/>
  </r>
  <r>
    <x v="2"/>
    <x v="0"/>
    <x v="41"/>
    <x v="10"/>
    <n v="563380"/>
  </r>
  <r>
    <x v="2"/>
    <x v="0"/>
    <x v="42"/>
    <x v="10"/>
    <n v="132837"/>
  </r>
  <r>
    <x v="2"/>
    <x v="0"/>
    <x v="43"/>
    <x v="10"/>
    <n v="137346"/>
  </r>
  <r>
    <x v="2"/>
    <x v="0"/>
    <x v="44"/>
    <x v="10"/>
    <n v="155585"/>
  </r>
  <r>
    <x v="2"/>
    <x v="0"/>
    <x v="45"/>
    <x v="10"/>
    <n v="17934"/>
  </r>
  <r>
    <x v="2"/>
    <x v="1"/>
    <x v="1"/>
    <x v="10"/>
    <n v="214638"/>
  </r>
  <r>
    <x v="2"/>
    <x v="1"/>
    <x v="46"/>
    <x v="10"/>
    <n v="117328"/>
  </r>
  <r>
    <x v="2"/>
    <x v="1"/>
    <x v="2"/>
    <x v="10"/>
    <n v="47029"/>
  </r>
  <r>
    <x v="2"/>
    <x v="1"/>
    <x v="3"/>
    <x v="10"/>
    <n v="3382"/>
  </r>
  <r>
    <x v="2"/>
    <x v="1"/>
    <x v="47"/>
    <x v="10"/>
    <n v="7076"/>
  </r>
  <r>
    <x v="2"/>
    <x v="1"/>
    <x v="48"/>
    <x v="10"/>
    <n v="6879"/>
  </r>
  <r>
    <x v="2"/>
    <x v="1"/>
    <x v="49"/>
    <x v="10"/>
    <n v="38967"/>
  </r>
  <r>
    <x v="2"/>
    <x v="2"/>
    <x v="5"/>
    <x v="10"/>
    <n v="398056"/>
  </r>
  <r>
    <x v="2"/>
    <x v="2"/>
    <x v="50"/>
    <x v="10"/>
    <n v="181827"/>
  </r>
  <r>
    <x v="2"/>
    <x v="2"/>
    <x v="51"/>
    <x v="10"/>
    <n v="145224"/>
  </r>
  <r>
    <x v="2"/>
    <x v="3"/>
    <x v="8"/>
    <x v="10"/>
    <n v="914201"/>
  </r>
  <r>
    <x v="2"/>
    <x v="3"/>
    <x v="52"/>
    <x v="10"/>
    <n v="39348"/>
  </r>
  <r>
    <x v="2"/>
    <x v="3"/>
    <x v="53"/>
    <x v="10"/>
    <n v="420484"/>
  </r>
  <r>
    <x v="2"/>
    <x v="4"/>
    <x v="11"/>
    <x v="10"/>
    <n v="344754"/>
  </r>
  <r>
    <x v="2"/>
    <x v="4"/>
    <x v="54"/>
    <x v="10"/>
    <n v="69505"/>
  </r>
  <r>
    <x v="2"/>
    <x v="4"/>
    <x v="55"/>
    <x v="10"/>
    <m/>
  </r>
  <r>
    <x v="2"/>
    <x v="4"/>
    <x v="56"/>
    <x v="10"/>
    <n v="21834"/>
  </r>
  <r>
    <x v="2"/>
    <x v="4"/>
    <x v="57"/>
    <x v="10"/>
    <m/>
  </r>
  <r>
    <x v="2"/>
    <x v="5"/>
    <x v="58"/>
    <x v="10"/>
    <n v="38989"/>
  </r>
  <r>
    <x v="2"/>
    <x v="5"/>
    <x v="59"/>
    <x v="10"/>
    <n v="45714"/>
  </r>
  <r>
    <x v="2"/>
    <x v="5"/>
    <x v="60"/>
    <x v="10"/>
    <n v="26284"/>
  </r>
  <r>
    <x v="2"/>
    <x v="8"/>
    <x v="74"/>
    <x v="10"/>
    <n v="13406"/>
  </r>
  <r>
    <x v="2"/>
    <x v="7"/>
    <x v="62"/>
    <x v="10"/>
    <n v="44714"/>
  </r>
  <r>
    <x v="2"/>
    <x v="7"/>
    <x v="63"/>
    <x v="10"/>
    <n v="12969"/>
  </r>
  <r>
    <x v="2"/>
    <x v="7"/>
    <x v="64"/>
    <x v="10"/>
    <n v="989"/>
  </r>
  <r>
    <x v="3"/>
    <x v="0"/>
    <x v="65"/>
    <x v="10"/>
    <n v="238739"/>
  </r>
  <r>
    <x v="3"/>
    <x v="1"/>
    <x v="66"/>
    <x v="10"/>
    <n v="133289"/>
  </r>
  <r>
    <x v="3"/>
    <x v="1"/>
    <x v="67"/>
    <x v="10"/>
    <n v="10562"/>
  </r>
  <r>
    <x v="3"/>
    <x v="1"/>
    <x v="68"/>
    <x v="10"/>
    <n v="12441"/>
  </r>
  <r>
    <x v="3"/>
    <x v="1"/>
    <x v="69"/>
    <x v="10"/>
    <n v="30684"/>
  </r>
  <r>
    <x v="3"/>
    <x v="2"/>
    <x v="5"/>
    <x v="10"/>
    <n v="252454"/>
  </r>
  <r>
    <x v="3"/>
    <x v="3"/>
    <x v="53"/>
    <x v="10"/>
    <n v="105851"/>
  </r>
  <r>
    <x v="3"/>
    <x v="3"/>
    <x v="8"/>
    <x v="10"/>
    <n v="112128"/>
  </r>
  <r>
    <x v="3"/>
    <x v="4"/>
    <x v="70"/>
    <x v="10"/>
    <n v="123223"/>
  </r>
  <r>
    <x v="3"/>
    <x v="5"/>
    <x v="14"/>
    <x v="10"/>
    <n v="29022"/>
  </r>
  <r>
    <x v="3"/>
    <x v="8"/>
    <x v="72"/>
    <x v="10"/>
    <n v="42734"/>
  </r>
  <r>
    <x v="3"/>
    <x v="7"/>
    <x v="71"/>
    <x v="10"/>
    <n v="41950"/>
  </r>
  <r>
    <x v="0"/>
    <x v="0"/>
    <x v="0"/>
    <x v="11"/>
    <n v="2764492"/>
  </r>
  <r>
    <x v="0"/>
    <x v="1"/>
    <x v="1"/>
    <x v="11"/>
    <n v="3936662"/>
  </r>
  <r>
    <x v="0"/>
    <x v="1"/>
    <x v="2"/>
    <x v="11"/>
    <n v="97239"/>
  </r>
  <r>
    <x v="0"/>
    <x v="1"/>
    <x v="3"/>
    <x v="11"/>
    <n v="14997"/>
  </r>
  <r>
    <x v="0"/>
    <x v="1"/>
    <x v="4"/>
    <x v="11"/>
    <n v="159666"/>
  </r>
  <r>
    <x v="0"/>
    <x v="2"/>
    <x v="5"/>
    <x v="11"/>
    <n v="3693408"/>
  </r>
  <r>
    <x v="0"/>
    <x v="2"/>
    <x v="6"/>
    <x v="11"/>
    <n v="421845"/>
  </r>
  <r>
    <x v="0"/>
    <x v="2"/>
    <x v="7"/>
    <x v="11"/>
    <n v="210907"/>
  </r>
  <r>
    <x v="0"/>
    <x v="3"/>
    <x v="8"/>
    <x v="11"/>
    <n v="1209611"/>
  </r>
  <r>
    <x v="0"/>
    <x v="3"/>
    <x v="9"/>
    <x v="11"/>
    <n v="1140883"/>
  </r>
  <r>
    <x v="0"/>
    <x v="3"/>
    <x v="10"/>
    <x v="11"/>
    <n v="215925"/>
  </r>
  <r>
    <x v="0"/>
    <x v="4"/>
    <x v="11"/>
    <x v="11"/>
    <n v="1160083"/>
  </r>
  <r>
    <x v="0"/>
    <x v="4"/>
    <x v="12"/>
    <x v="11"/>
    <n v="190544"/>
  </r>
  <r>
    <x v="0"/>
    <x v="4"/>
    <x v="13"/>
    <x v="11"/>
    <m/>
  </r>
  <r>
    <x v="0"/>
    <x v="5"/>
    <x v="14"/>
    <x v="11"/>
    <n v="345942"/>
  </r>
  <r>
    <x v="0"/>
    <x v="8"/>
    <x v="72"/>
    <x v="11"/>
    <n v="354976"/>
  </r>
  <r>
    <x v="0"/>
    <x v="7"/>
    <x v="16"/>
    <x v="11"/>
    <n v="332344"/>
  </r>
  <r>
    <x v="1"/>
    <x v="0"/>
    <x v="0"/>
    <x v="11"/>
    <n v="2363476"/>
  </r>
  <r>
    <x v="1"/>
    <x v="0"/>
    <x v="17"/>
    <x v="11"/>
    <n v="354144"/>
  </r>
  <r>
    <x v="1"/>
    <x v="0"/>
    <x v="18"/>
    <x v="11"/>
    <n v="311810"/>
  </r>
  <r>
    <x v="1"/>
    <x v="0"/>
    <x v="19"/>
    <x v="11"/>
    <n v="673097"/>
  </r>
  <r>
    <x v="1"/>
    <x v="0"/>
    <x v="20"/>
    <x v="11"/>
    <n v="21376"/>
  </r>
  <r>
    <x v="1"/>
    <x v="1"/>
    <x v="1"/>
    <x v="11"/>
    <n v="605430"/>
  </r>
  <r>
    <x v="1"/>
    <x v="1"/>
    <x v="21"/>
    <x v="11"/>
    <n v="32177"/>
  </r>
  <r>
    <x v="1"/>
    <x v="2"/>
    <x v="5"/>
    <x v="11"/>
    <n v="383931"/>
  </r>
  <r>
    <x v="1"/>
    <x v="2"/>
    <x v="6"/>
    <x v="11"/>
    <n v="3554289"/>
  </r>
  <r>
    <x v="1"/>
    <x v="2"/>
    <x v="22"/>
    <x v="11"/>
    <n v="39296"/>
  </r>
  <r>
    <x v="1"/>
    <x v="3"/>
    <x v="8"/>
    <x v="11"/>
    <n v="3927087"/>
  </r>
  <r>
    <x v="1"/>
    <x v="3"/>
    <x v="23"/>
    <x v="11"/>
    <n v="14462"/>
  </r>
  <r>
    <x v="1"/>
    <x v="3"/>
    <x v="24"/>
    <x v="11"/>
    <n v="63976"/>
  </r>
  <r>
    <x v="1"/>
    <x v="4"/>
    <x v="11"/>
    <x v="11"/>
    <n v="2047987"/>
  </r>
  <r>
    <x v="1"/>
    <x v="4"/>
    <x v="25"/>
    <x v="11"/>
    <n v="113726"/>
  </r>
  <r>
    <x v="1"/>
    <x v="4"/>
    <x v="26"/>
    <x v="11"/>
    <m/>
  </r>
  <r>
    <x v="1"/>
    <x v="5"/>
    <x v="14"/>
    <x v="11"/>
    <n v="258283"/>
  </r>
  <r>
    <x v="1"/>
    <x v="5"/>
    <x v="27"/>
    <x v="11"/>
    <n v="17042"/>
  </r>
  <r>
    <x v="1"/>
    <x v="5"/>
    <x v="28"/>
    <x v="11"/>
    <n v="12099"/>
  </r>
  <r>
    <x v="1"/>
    <x v="5"/>
    <x v="29"/>
    <x v="11"/>
    <n v="8767"/>
  </r>
  <r>
    <x v="1"/>
    <x v="5"/>
    <x v="30"/>
    <x v="11"/>
    <n v="9185"/>
  </r>
  <r>
    <x v="1"/>
    <x v="5"/>
    <x v="31"/>
    <x v="11"/>
    <m/>
  </r>
  <r>
    <x v="1"/>
    <x v="8"/>
    <x v="72"/>
    <x v="11"/>
    <n v="93878"/>
  </r>
  <r>
    <x v="1"/>
    <x v="8"/>
    <x v="75"/>
    <x v="11"/>
    <n v="8391"/>
  </r>
  <r>
    <x v="1"/>
    <x v="8"/>
    <x v="76"/>
    <x v="11"/>
    <n v="9584"/>
  </r>
  <r>
    <x v="1"/>
    <x v="8"/>
    <x v="77"/>
    <x v="11"/>
    <n v="9682"/>
  </r>
  <r>
    <x v="1"/>
    <x v="8"/>
    <x v="78"/>
    <x v="11"/>
    <n v="10787"/>
  </r>
  <r>
    <x v="1"/>
    <x v="7"/>
    <x v="16"/>
    <x v="11"/>
    <n v="402080"/>
  </r>
  <r>
    <x v="1"/>
    <x v="7"/>
    <x v="36"/>
    <x v="11"/>
    <n v="5832"/>
  </r>
  <r>
    <x v="1"/>
    <x v="7"/>
    <x v="37"/>
    <x v="11"/>
    <n v="402080"/>
  </r>
  <r>
    <x v="1"/>
    <x v="7"/>
    <x v="38"/>
    <x v="11"/>
    <n v="5204"/>
  </r>
  <r>
    <x v="1"/>
    <x v="7"/>
    <x v="39"/>
    <x v="11"/>
    <n v="996"/>
  </r>
  <r>
    <x v="1"/>
    <x v="7"/>
    <x v="40"/>
    <x v="11"/>
    <n v="13890"/>
  </r>
  <r>
    <x v="2"/>
    <x v="0"/>
    <x v="0"/>
    <x v="11"/>
    <n v="946352"/>
  </r>
  <r>
    <x v="2"/>
    <x v="0"/>
    <x v="41"/>
    <x v="11"/>
    <n v="563096"/>
  </r>
  <r>
    <x v="2"/>
    <x v="0"/>
    <x v="42"/>
    <x v="11"/>
    <n v="132979"/>
  </r>
  <r>
    <x v="2"/>
    <x v="0"/>
    <x v="43"/>
    <x v="11"/>
    <n v="138005"/>
  </r>
  <r>
    <x v="2"/>
    <x v="0"/>
    <x v="44"/>
    <x v="11"/>
    <n v="155328"/>
  </r>
  <r>
    <x v="2"/>
    <x v="0"/>
    <x v="45"/>
    <x v="11"/>
    <n v="17955"/>
  </r>
  <r>
    <x v="2"/>
    <x v="1"/>
    <x v="1"/>
    <x v="11"/>
    <n v="214923"/>
  </r>
  <r>
    <x v="2"/>
    <x v="1"/>
    <x v="46"/>
    <x v="11"/>
    <n v="117115"/>
  </r>
  <r>
    <x v="2"/>
    <x v="1"/>
    <x v="2"/>
    <x v="11"/>
    <n v="46925"/>
  </r>
  <r>
    <x v="2"/>
    <x v="1"/>
    <x v="3"/>
    <x v="11"/>
    <n v="3377"/>
  </r>
  <r>
    <x v="2"/>
    <x v="1"/>
    <x v="47"/>
    <x v="11"/>
    <n v="7060"/>
  </r>
  <r>
    <x v="2"/>
    <x v="1"/>
    <x v="48"/>
    <x v="11"/>
    <n v="6862"/>
  </r>
  <r>
    <x v="2"/>
    <x v="1"/>
    <x v="49"/>
    <x v="11"/>
    <n v="38914"/>
  </r>
  <r>
    <x v="2"/>
    <x v="2"/>
    <x v="5"/>
    <x v="11"/>
    <n v="397915"/>
  </r>
  <r>
    <x v="2"/>
    <x v="2"/>
    <x v="50"/>
    <x v="11"/>
    <n v="181526"/>
  </r>
  <r>
    <x v="2"/>
    <x v="2"/>
    <x v="51"/>
    <x v="11"/>
    <n v="145220"/>
  </r>
  <r>
    <x v="2"/>
    <x v="3"/>
    <x v="8"/>
    <x v="11"/>
    <n v="913985"/>
  </r>
  <r>
    <x v="2"/>
    <x v="3"/>
    <x v="52"/>
    <x v="11"/>
    <n v="39380"/>
  </r>
  <r>
    <x v="2"/>
    <x v="3"/>
    <x v="53"/>
    <x v="11"/>
    <n v="420762"/>
  </r>
  <r>
    <x v="2"/>
    <x v="4"/>
    <x v="11"/>
    <x v="11"/>
    <n v="344787"/>
  </r>
  <r>
    <x v="2"/>
    <x v="4"/>
    <x v="54"/>
    <x v="11"/>
    <n v="69443"/>
  </r>
  <r>
    <x v="2"/>
    <x v="4"/>
    <x v="55"/>
    <x v="11"/>
    <m/>
  </r>
  <r>
    <x v="2"/>
    <x v="4"/>
    <x v="56"/>
    <x v="11"/>
    <n v="21803"/>
  </r>
  <r>
    <x v="2"/>
    <x v="4"/>
    <x v="57"/>
    <x v="11"/>
    <m/>
  </r>
  <r>
    <x v="2"/>
    <x v="5"/>
    <x v="58"/>
    <x v="11"/>
    <n v="39061"/>
  </r>
  <r>
    <x v="2"/>
    <x v="5"/>
    <x v="59"/>
    <x v="11"/>
    <n v="45983"/>
  </r>
  <r>
    <x v="2"/>
    <x v="5"/>
    <x v="60"/>
    <x v="11"/>
    <n v="26257"/>
  </r>
  <r>
    <x v="2"/>
    <x v="8"/>
    <x v="74"/>
    <x v="11"/>
    <n v="13549"/>
  </r>
  <r>
    <x v="2"/>
    <x v="7"/>
    <x v="62"/>
    <x v="11"/>
    <n v="44676"/>
  </r>
  <r>
    <x v="2"/>
    <x v="7"/>
    <x v="63"/>
    <x v="11"/>
    <n v="12993"/>
  </r>
  <r>
    <x v="2"/>
    <x v="7"/>
    <x v="64"/>
    <x v="11"/>
    <n v="988"/>
  </r>
  <r>
    <x v="3"/>
    <x v="0"/>
    <x v="65"/>
    <x v="11"/>
    <n v="242077"/>
  </r>
  <r>
    <x v="3"/>
    <x v="1"/>
    <x v="66"/>
    <x v="11"/>
    <n v="135845"/>
  </r>
  <r>
    <x v="3"/>
    <x v="1"/>
    <x v="67"/>
    <x v="11"/>
    <n v="11486"/>
  </r>
  <r>
    <x v="3"/>
    <x v="1"/>
    <x v="68"/>
    <x v="11"/>
    <n v="12819"/>
  </r>
  <r>
    <x v="3"/>
    <x v="1"/>
    <x v="69"/>
    <x v="11"/>
    <n v="30329"/>
  </r>
  <r>
    <x v="3"/>
    <x v="2"/>
    <x v="5"/>
    <x v="11"/>
    <n v="254795"/>
  </r>
  <r>
    <x v="3"/>
    <x v="3"/>
    <x v="53"/>
    <x v="11"/>
    <n v="105592"/>
  </r>
  <r>
    <x v="3"/>
    <x v="3"/>
    <x v="8"/>
    <x v="11"/>
    <n v="114859"/>
  </r>
  <r>
    <x v="3"/>
    <x v="4"/>
    <x v="70"/>
    <x v="11"/>
    <n v="124049"/>
  </r>
  <r>
    <x v="3"/>
    <x v="5"/>
    <x v="14"/>
    <x v="11"/>
    <n v="29708"/>
  </r>
  <r>
    <x v="3"/>
    <x v="8"/>
    <x v="72"/>
    <x v="11"/>
    <n v="43515"/>
  </r>
  <r>
    <x v="3"/>
    <x v="7"/>
    <x v="71"/>
    <x v="11"/>
    <n v="431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66EFF6-2595-44E5-A866-A6A83CF3AC4F}"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7">
  <location ref="H4:I17" firstHeaderRow="1" firstDataRow="1" firstDataCol="1"/>
  <pivotFields count="6">
    <pivotField showAll="0">
      <items count="5">
        <item x="0"/>
        <item x="3"/>
        <item x="1"/>
        <item x="2"/>
        <item t="default"/>
      </items>
    </pivotField>
    <pivotField showAll="0">
      <items count="12">
        <item x="0"/>
        <item x="1"/>
        <item x="2"/>
        <item x="3"/>
        <item x="5"/>
        <item h="1" m="1" x="9"/>
        <item h="1" x="6"/>
        <item h="1" m="1" x="10"/>
        <item x="8"/>
        <item x="7"/>
        <item h="1" x="4"/>
        <item t="default"/>
      </items>
    </pivotField>
    <pivotField showAll="0"/>
    <pivotField axis="axisRow" numFmtId="17" showAll="0">
      <items count="24">
        <item x="0"/>
        <item x="1"/>
        <item x="2"/>
        <item x="3"/>
        <item x="4"/>
        <item x="5"/>
        <item h="1" m="1" x="14"/>
        <item h="1" m="1" x="16"/>
        <item h="1" m="1" x="18"/>
        <item h="1" m="1" x="12"/>
        <item h="1" m="1" x="17"/>
        <item h="1" m="1" x="22"/>
        <item h="1" m="1" x="13"/>
        <item h="1" m="1" x="15"/>
        <item h="1" m="1" x="21"/>
        <item h="1" m="1" x="20"/>
        <item h="1" m="1" x="19"/>
        <item x="6"/>
        <item x="7"/>
        <item x="8"/>
        <item x="9"/>
        <item x="10"/>
        <item x="11"/>
        <item t="default"/>
      </items>
    </pivotField>
    <pivotField dataField="1" showAll="0"/>
    <pivotField showAll="0">
      <items count="19">
        <item x="0"/>
        <item x="1"/>
        <item x="2"/>
        <item x="3"/>
        <item x="4"/>
        <item x="5"/>
        <item x="6"/>
        <item x="7"/>
        <item x="8"/>
        <item x="9"/>
        <item x="10"/>
        <item x="11"/>
        <item x="12"/>
        <item x="13"/>
        <item x="14"/>
        <item x="15"/>
        <item x="16"/>
        <item x="17"/>
        <item t="default"/>
      </items>
    </pivotField>
  </pivotFields>
  <rowFields count="1">
    <field x="3"/>
  </rowFields>
  <rowItems count="13">
    <i>
      <x/>
    </i>
    <i>
      <x v="1"/>
    </i>
    <i>
      <x v="2"/>
    </i>
    <i>
      <x v="3"/>
    </i>
    <i>
      <x v="4"/>
    </i>
    <i>
      <x v="5"/>
    </i>
    <i>
      <x v="17"/>
    </i>
    <i>
      <x v="18"/>
    </i>
    <i>
      <x v="19"/>
    </i>
    <i>
      <x v="20"/>
    </i>
    <i>
      <x v="21"/>
    </i>
    <i>
      <x v="22"/>
    </i>
    <i t="grand">
      <x/>
    </i>
  </rowItems>
  <colItems count="1">
    <i/>
  </colItems>
  <dataFields count="1">
    <dataField name="Sum of Followers" fld="4" baseField="3" baseItem="1" numFmtId="37"/>
  </dataFields>
  <formats count="3">
    <format dxfId="14">
      <pivotArea outline="0" collapsedLevelsAreSubtotals="1" fieldPosition="0"/>
    </format>
    <format dxfId="13">
      <pivotArea outline="0" fieldPosition="0">
        <references count="1">
          <reference field="4294967294" count="1">
            <x v="0"/>
          </reference>
        </references>
      </pivotArea>
    </format>
    <format dxfId="12">
      <pivotArea dataOnly="0" labelOnly="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2D58DC-A974-40FB-8862-FF66250983F4}" name="PivotTable4"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9">
  <location ref="L4:M9" firstHeaderRow="1" firstDataRow="1" firstDataCol="1"/>
  <pivotFields count="6">
    <pivotField axis="axisRow" showAll="0">
      <items count="5">
        <item x="0"/>
        <item x="3"/>
        <item x="1"/>
        <item x="2"/>
        <item t="default"/>
      </items>
    </pivotField>
    <pivotField showAll="0">
      <items count="12">
        <item x="0"/>
        <item x="1"/>
        <item x="2"/>
        <item x="3"/>
        <item x="5"/>
        <item h="1" m="1" x="9"/>
        <item h="1" x="6"/>
        <item h="1" m="1" x="10"/>
        <item x="8"/>
        <item x="7"/>
        <item h="1" x="4"/>
        <item t="default"/>
      </items>
    </pivotField>
    <pivotField showAll="0"/>
    <pivotField numFmtId="17" showAll="0">
      <items count="24">
        <item x="0"/>
        <item x="1"/>
        <item x="2"/>
        <item x="3"/>
        <item x="4"/>
        <item x="5"/>
        <item h="1" m="1" x="14"/>
        <item h="1" m="1" x="16"/>
        <item h="1" m="1" x="18"/>
        <item h="1" m="1" x="12"/>
        <item h="1" m="1" x="17"/>
        <item h="1" m="1" x="22"/>
        <item h="1" m="1" x="13"/>
        <item h="1" m="1" x="15"/>
        <item h="1" m="1" x="21"/>
        <item h="1" m="1" x="20"/>
        <item h="1" m="1" x="19"/>
        <item x="6"/>
        <item x="7"/>
        <item x="8"/>
        <item x="9"/>
        <item x="10"/>
        <item x="11"/>
        <item t="default"/>
      </items>
    </pivotField>
    <pivotField dataField="1" showAll="0"/>
    <pivotField showAll="0">
      <items count="19">
        <item x="0"/>
        <item x="1"/>
        <item x="2"/>
        <item x="3"/>
        <item x="4"/>
        <item x="5"/>
        <item x="6"/>
        <item x="7"/>
        <item x="8"/>
        <item x="9"/>
        <item x="10"/>
        <item x="11"/>
        <item x="12"/>
        <item x="13"/>
        <item x="14"/>
        <item x="15"/>
        <item x="16"/>
        <item x="17"/>
        <item t="default"/>
      </items>
    </pivotField>
  </pivotFields>
  <rowFields count="1">
    <field x="0"/>
  </rowFields>
  <rowItems count="5">
    <i>
      <x/>
    </i>
    <i>
      <x v="1"/>
    </i>
    <i>
      <x v="2"/>
    </i>
    <i>
      <x v="3"/>
    </i>
    <i t="grand">
      <x/>
    </i>
  </rowItems>
  <colItems count="1">
    <i/>
  </colItems>
  <dataFields count="1">
    <dataField name="Sum of Followers" fld="4" showDataAs="percentOfCol" baseField="3" baseItem="1" numFmtId="10"/>
  </dataFields>
  <formats count="3">
    <format dxfId="17">
      <pivotArea outline="0" collapsedLevelsAreSubtotals="1" fieldPosition="0"/>
    </format>
    <format dxfId="16">
      <pivotArea outline="0" fieldPosition="0">
        <references count="1">
          <reference field="4294967294" count="1">
            <x v="0"/>
          </reference>
        </references>
      </pivotArea>
    </format>
    <format dxfId="15">
      <pivotArea collapsedLevelsAreSubtotals="1" fieldPosition="0">
        <references count="1">
          <reference field="0" count="0"/>
        </references>
      </pivotArea>
    </format>
  </formats>
  <chartFormats count="10">
    <chartFormat chart="4"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AD9EC6-3333-4FD2-9F00-4ADD6EF6183C}"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8">
  <location ref="A3:B16" firstHeaderRow="1" firstDataRow="1" firstDataCol="1"/>
  <pivotFields count="6">
    <pivotField showAll="0">
      <items count="5">
        <item x="0"/>
        <item x="3"/>
        <item x="1"/>
        <item x="2"/>
        <item t="default"/>
      </items>
    </pivotField>
    <pivotField showAll="0">
      <items count="12">
        <item x="0"/>
        <item x="1"/>
        <item x="2"/>
        <item x="3"/>
        <item x="5"/>
        <item h="1" m="1" x="9"/>
        <item h="1" x="6"/>
        <item h="1" m="1" x="10"/>
        <item x="8"/>
        <item x="7"/>
        <item h="1" x="4"/>
        <item t="default"/>
      </items>
    </pivotField>
    <pivotField showAll="0"/>
    <pivotField axis="axisRow" numFmtId="17" showAll="0">
      <items count="24">
        <item x="0"/>
        <item x="1"/>
        <item x="2"/>
        <item x="3"/>
        <item x="4"/>
        <item x="5"/>
        <item h="1" m="1" x="14"/>
        <item h="1" m="1" x="16"/>
        <item h="1" m="1" x="18"/>
        <item h="1" m="1" x="12"/>
        <item h="1" m="1" x="17"/>
        <item h="1" m="1" x="22"/>
        <item h="1" m="1" x="13"/>
        <item h="1" m="1" x="15"/>
        <item h="1" m="1" x="21"/>
        <item h="1" m="1" x="20"/>
        <item h="1" m="1" x="19"/>
        <item x="6"/>
        <item x="7"/>
        <item x="8"/>
        <item x="9"/>
        <item x="10"/>
        <item x="11"/>
        <item t="default"/>
      </items>
    </pivotField>
    <pivotField dataField="1" showAll="0"/>
    <pivotField showAll="0">
      <items count="19">
        <item h="1" x="0"/>
        <item x="1"/>
        <item h="1" x="2"/>
        <item h="1" x="3"/>
        <item h="1" x="4"/>
        <item h="1" x="5"/>
        <item h="1" x="6"/>
        <item h="1" x="7"/>
        <item h="1" x="8"/>
        <item h="1" x="9"/>
        <item h="1" x="10"/>
        <item h="1" x="11"/>
        <item h="1" x="12"/>
        <item h="1" x="13"/>
        <item h="1" x="14"/>
        <item h="1" x="15"/>
        <item h="1" x="16"/>
        <item h="1" x="17"/>
        <item t="default"/>
      </items>
    </pivotField>
  </pivotFields>
  <rowFields count="1">
    <field x="3"/>
  </rowFields>
  <rowItems count="13">
    <i>
      <x/>
    </i>
    <i>
      <x v="1"/>
    </i>
    <i>
      <x v="2"/>
    </i>
    <i>
      <x v="3"/>
    </i>
    <i>
      <x v="4"/>
    </i>
    <i>
      <x v="5"/>
    </i>
    <i>
      <x v="17"/>
    </i>
    <i>
      <x v="18"/>
    </i>
    <i>
      <x v="19"/>
    </i>
    <i>
      <x v="20"/>
    </i>
    <i>
      <x v="21"/>
    </i>
    <i>
      <x v="22"/>
    </i>
    <i t="grand">
      <x/>
    </i>
  </rowItems>
  <colItems count="1">
    <i/>
  </colItems>
  <dataFields count="1">
    <dataField name="Sum of Followers" fld="4" baseField="3" baseItem="1" numFmtId="37"/>
  </dataFields>
  <formats count="3">
    <format dxfId="20">
      <pivotArea outline="0" collapsedLevelsAreSubtotals="1" fieldPosition="0"/>
    </format>
    <format dxfId="19">
      <pivotArea outline="0" fieldPosition="0">
        <references count="1">
          <reference field="4294967294" count="1">
            <x v="0"/>
          </reference>
        </references>
      </pivotArea>
    </format>
    <format dxfId="18">
      <pivotArea dataOnly="0" labelOnly="1" fieldPosition="0">
        <references count="1">
          <reference field="3" count="0"/>
        </references>
      </pivotArea>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2"/>
          </reference>
        </references>
      </pivotArea>
    </chartFormat>
    <chartFormat chart="5" format="6">
      <pivotArea type="data" outline="0" fieldPosition="0">
        <references count="2">
          <reference field="4294967294" count="1" selected="0">
            <x v="0"/>
          </reference>
          <reference field="3"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F49A05-FBC3-4300-978B-0257D745BB1E}"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6">
  <location ref="A28:F42" firstHeaderRow="1" firstDataRow="2" firstDataCol="1" rowPageCount="1" colPageCount="1"/>
  <pivotFields count="6">
    <pivotField axis="axisCol" showAll="0">
      <items count="5">
        <item x="0"/>
        <item x="3"/>
        <item x="1"/>
        <item x="2"/>
        <item t="default"/>
      </items>
    </pivotField>
    <pivotField axis="axisPage" multipleItemSelectionAllowed="1" showAll="0" sortType="descending">
      <items count="12">
        <item x="0"/>
        <item x="1"/>
        <item x="2"/>
        <item x="3"/>
        <item x="5"/>
        <item h="1" m="1" x="9"/>
        <item h="1" x="6"/>
        <item h="1" m="1" x="10"/>
        <item x="8"/>
        <item x="7"/>
        <item h="1" x="4"/>
        <item t="default"/>
      </items>
      <autoSortScope>
        <pivotArea dataOnly="0" outline="0" fieldPosition="0">
          <references count="1">
            <reference field="4294967294" count="1" selected="0">
              <x v="0"/>
            </reference>
          </references>
        </pivotArea>
      </autoSortScope>
    </pivotField>
    <pivotField showAll="0"/>
    <pivotField axis="axisRow" numFmtId="17" showAll="0">
      <items count="24">
        <item x="0"/>
        <item x="1"/>
        <item x="2"/>
        <item x="3"/>
        <item x="4"/>
        <item x="5"/>
        <item h="1" m="1" x="14"/>
        <item h="1" m="1" x="16"/>
        <item h="1" m="1" x="18"/>
        <item h="1" m="1" x="12"/>
        <item h="1" m="1" x="17"/>
        <item h="1" m="1" x="22"/>
        <item h="1" m="1" x="13"/>
        <item h="1" m="1" x="15"/>
        <item h="1" m="1" x="21"/>
        <item h="1" m="1" x="20"/>
        <item h="1" m="1" x="19"/>
        <item x="6"/>
        <item x="7"/>
        <item x="8"/>
        <item x="9"/>
        <item x="10"/>
        <item x="11"/>
        <item t="default"/>
      </items>
    </pivotField>
    <pivotField dataField="1" showAll="0"/>
    <pivotField showAll="0">
      <items count="19">
        <item x="0"/>
        <item x="1"/>
        <item x="2"/>
        <item x="3"/>
        <item x="4"/>
        <item x="5"/>
        <item x="6"/>
        <item x="7"/>
        <item x="8"/>
        <item x="9"/>
        <item x="10"/>
        <item x="11"/>
        <item x="12"/>
        <item x="13"/>
        <item x="14"/>
        <item x="15"/>
        <item x="16"/>
        <item x="17"/>
        <item t="default"/>
      </items>
    </pivotField>
  </pivotFields>
  <rowFields count="1">
    <field x="3"/>
  </rowFields>
  <rowItems count="13">
    <i>
      <x/>
    </i>
    <i>
      <x v="1"/>
    </i>
    <i>
      <x v="2"/>
    </i>
    <i>
      <x v="3"/>
    </i>
    <i>
      <x v="4"/>
    </i>
    <i>
      <x v="5"/>
    </i>
    <i>
      <x v="17"/>
    </i>
    <i>
      <x v="18"/>
    </i>
    <i>
      <x v="19"/>
    </i>
    <i>
      <x v="20"/>
    </i>
    <i>
      <x v="21"/>
    </i>
    <i>
      <x v="22"/>
    </i>
    <i t="grand">
      <x/>
    </i>
  </rowItems>
  <colFields count="1">
    <field x="0"/>
  </colFields>
  <colItems count="5">
    <i>
      <x/>
    </i>
    <i>
      <x v="1"/>
    </i>
    <i>
      <x v="2"/>
    </i>
    <i>
      <x v="3"/>
    </i>
    <i t="grand">
      <x/>
    </i>
  </colItems>
  <pageFields count="1">
    <pageField fld="1" hier="-1"/>
  </pageFields>
  <dataFields count="1">
    <dataField name="Sum of Followers" fld="4" baseField="3" baseItem="1" numFmtId="37"/>
  </dataFields>
  <formats count="2">
    <format dxfId="6">
      <pivotArea outline="0" collapsedLevelsAreSubtotals="1" fieldPosition="0"/>
    </format>
    <format dxfId="5">
      <pivotArea outline="0" fieldPosition="0">
        <references count="1">
          <reference field="4294967294" count="1">
            <x v="0"/>
          </reference>
        </references>
      </pivotArea>
    </format>
  </formats>
  <chartFormats count="22">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pivotArea type="data" outline="0" fieldPosition="0">
        <references count="3">
          <reference field="4294967294" count="1" selected="0">
            <x v="0"/>
          </reference>
          <reference field="0" count="1" selected="0">
            <x v="3"/>
          </reference>
          <reference field="3" count="1" selected="0">
            <x v="2"/>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3">
          <reference field="4294967294" count="1" selected="0">
            <x v="0"/>
          </reference>
          <reference field="0" count="1" selected="0">
            <x v="2"/>
          </reference>
          <reference field="3" count="1" selected="0">
            <x v="3"/>
          </reference>
        </references>
      </pivotArea>
    </chartFormat>
    <chartFormat chart="5" format="13" series="1">
      <pivotArea type="data" outline="0" fieldPosition="0">
        <references count="2">
          <reference field="4294967294" count="1" selected="0">
            <x v="0"/>
          </reference>
          <reference field="0" count="1" selected="0">
            <x v="0"/>
          </reference>
        </references>
      </pivotArea>
    </chartFormat>
    <chartFormat chart="5" format="14" series="1">
      <pivotArea type="data" outline="0" fieldPosition="0">
        <references count="2">
          <reference field="4294967294" count="1" selected="0">
            <x v="0"/>
          </reference>
          <reference field="0" count="1" selected="0">
            <x v="1"/>
          </reference>
        </references>
      </pivotArea>
    </chartFormat>
    <chartFormat chart="5" format="15" series="1">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3">
          <reference field="4294967294" count="1" selected="0">
            <x v="0"/>
          </reference>
          <reference field="0" count="1" selected="0">
            <x v="2"/>
          </reference>
          <reference field="3" count="1" selected="0">
            <x v="3"/>
          </reference>
        </references>
      </pivotArea>
    </chartFormat>
    <chartFormat chart="5" format="17" series="1">
      <pivotArea type="data" outline="0" fieldPosition="0">
        <references count="2">
          <reference field="4294967294" count="1" selected="0">
            <x v="0"/>
          </reference>
          <reference field="0" count="1" selected="0">
            <x v="3"/>
          </reference>
        </references>
      </pivotArea>
    </chartFormat>
    <chartFormat chart="5" format="18">
      <pivotArea type="data" outline="0" fieldPosition="0">
        <references count="3">
          <reference field="4294967294" count="1" selected="0">
            <x v="0"/>
          </reference>
          <reference field="0" count="1" selected="0">
            <x v="3"/>
          </reference>
          <reference field="3" count="1" selected="0">
            <x v="2"/>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3">
          <reference field="4294967294" count="1" selected="0">
            <x v="0"/>
          </reference>
          <reference field="0" count="1" selected="0">
            <x v="2"/>
          </reference>
          <reference field="3" count="1" selected="0">
            <x v="1"/>
          </reference>
        </references>
      </pivotArea>
    </chartFormat>
    <chartFormat chart="5" format="21">
      <pivotArea type="data" outline="0" fieldPosition="0">
        <references count="3">
          <reference field="4294967294" count="1" selected="0">
            <x v="0"/>
          </reference>
          <reference field="0" count="1" selected="0">
            <x v="2"/>
          </reference>
          <reference field="3" count="1" selected="0">
            <x v="4"/>
          </reference>
        </references>
      </pivotArea>
    </chartFormat>
    <chartFormat chart="5" format="22">
      <pivotArea type="data" outline="0" fieldPosition="0">
        <references count="3">
          <reference field="4294967294" count="1" selected="0">
            <x v="0"/>
          </reference>
          <reference field="0" count="1" selected="0">
            <x v="2"/>
          </reference>
          <reference field="3" count="1" selected="0">
            <x v="5"/>
          </reference>
        </references>
      </pivotArea>
    </chartFormat>
    <chartFormat chart="5" format="23">
      <pivotArea type="data" outline="0" fieldPosition="0">
        <references count="3">
          <reference field="4294967294" count="1" selected="0">
            <x v="0"/>
          </reference>
          <reference field="0" count="1" selected="0">
            <x v="1"/>
          </reference>
          <reference field="3" count="1" selected="0">
            <x v="2"/>
          </reference>
        </references>
      </pivotArea>
    </chartFormat>
    <chartFormat chart="5" format="24">
      <pivotArea type="data" outline="0" fieldPosition="0">
        <references count="3">
          <reference field="4294967294" count="1" selected="0">
            <x v="0"/>
          </reference>
          <reference field="0" count="1" selected="0">
            <x v="2"/>
          </reference>
          <reference field="3" count="1" selected="0">
            <x v="2"/>
          </reference>
        </references>
      </pivotArea>
    </chartFormat>
    <chartFormat chart="5" format="25">
      <pivotArea type="data" outline="0" fieldPosition="0">
        <references count="3">
          <reference field="4294967294" count="1" selected="0">
            <x v="0"/>
          </reference>
          <reference field="0" count="1" selected="0">
            <x v="0"/>
          </reference>
          <reference field="3" count="1" selected="0">
            <x v="1"/>
          </reference>
        </references>
      </pivotArea>
    </chartFormat>
    <chartFormat chart="5" format="26">
      <pivotArea type="data" outline="0" fieldPosition="0">
        <references count="3">
          <reference field="4294967294" count="1" selected="0">
            <x v="0"/>
          </reference>
          <reference field="0" count="1" selected="0">
            <x v="0"/>
          </reference>
          <reference field="3" count="1" selected="0">
            <x v="0"/>
          </reference>
        </references>
      </pivotArea>
    </chartFormat>
    <chartFormat chart="5" format="27">
      <pivotArea type="data" outline="0" fieldPosition="0">
        <references count="3">
          <reference field="4294967294" count="1" selected="0">
            <x v="0"/>
          </reference>
          <reference field="0"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74850D-B15E-42A8-A526-2E015563ED98}" name="PivotTable1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B9" firstHeaderRow="1" firstDataRow="1" firstDataCol="1"/>
  <pivotFields count="6">
    <pivotField showAll="0">
      <items count="5">
        <item x="0"/>
        <item x="3"/>
        <item x="1"/>
        <item x="2"/>
        <item t="default"/>
      </items>
    </pivotField>
    <pivotField axis="axisRow" showAll="0" sortType="descending">
      <items count="12">
        <item x="0"/>
        <item x="1"/>
        <item x="2"/>
        <item x="3"/>
        <item x="5"/>
        <item h="1" m="1" x="9"/>
        <item h="1" x="6"/>
        <item h="1" m="1" x="10"/>
        <item x="8"/>
        <item x="7"/>
        <item h="1" x="4"/>
        <item t="default"/>
      </items>
      <autoSortScope>
        <pivotArea dataOnly="0" outline="0" fieldPosition="0">
          <references count="1">
            <reference field="4294967294" count="1" selected="0">
              <x v="0"/>
            </reference>
          </references>
        </pivotArea>
      </autoSortScope>
    </pivotField>
    <pivotField showAll="0"/>
    <pivotField numFmtId="17" showAll="0">
      <items count="24">
        <item x="0"/>
        <item x="1"/>
        <item x="2"/>
        <item x="3"/>
        <item x="4"/>
        <item x="5"/>
        <item h="1" m="1" x="14"/>
        <item h="1" m="1" x="16"/>
        <item h="1" m="1" x="18"/>
        <item h="1" m="1" x="12"/>
        <item h="1" m="1" x="17"/>
        <item h="1" m="1" x="22"/>
        <item h="1" m="1" x="13"/>
        <item h="1" m="1" x="15"/>
        <item h="1" m="1" x="21"/>
        <item h="1" m="1" x="20"/>
        <item h="1" m="1" x="19"/>
        <item x="6"/>
        <item x="7"/>
        <item x="8"/>
        <item x="9"/>
        <item x="10"/>
        <item x="11"/>
        <item t="default"/>
      </items>
    </pivotField>
    <pivotField dataField="1" showAll="0"/>
    <pivotField showAll="0">
      <items count="19">
        <item x="0"/>
        <item x="1"/>
        <item x="2"/>
        <item x="3"/>
        <item x="4"/>
        <item x="5"/>
        <item x="6"/>
        <item x="7"/>
        <item x="8"/>
        <item x="9"/>
        <item x="10"/>
        <item x="11"/>
        <item x="12"/>
        <item x="13"/>
        <item x="14"/>
        <item x="15"/>
        <item x="16"/>
        <item x="17"/>
        <item t="default"/>
      </items>
    </pivotField>
  </pivotFields>
  <rowFields count="1">
    <field x="1"/>
  </rowFields>
  <rowItems count="8">
    <i>
      <x v="2"/>
    </i>
    <i>
      <x/>
    </i>
    <i>
      <x v="3"/>
    </i>
    <i>
      <x v="1"/>
    </i>
    <i>
      <x v="9"/>
    </i>
    <i>
      <x v="4"/>
    </i>
    <i>
      <x v="8"/>
    </i>
    <i t="grand">
      <x/>
    </i>
  </rowItems>
  <colItems count="1">
    <i/>
  </colItems>
  <dataFields count="1">
    <dataField name="Sum of Followers" fld="4" baseField="3" baseItem="1" numFmtId="37"/>
  </dataFields>
  <formats count="2">
    <format dxfId="8">
      <pivotArea outline="0" collapsedLevelsAreSubtotals="1" fieldPosition="0"/>
    </format>
    <format dxfId="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F65816-E5C1-47AB-B397-FF725411E3B1}"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6">
  <location ref="R30:Z44" firstHeaderRow="1" firstDataRow="2" firstDataCol="1"/>
  <pivotFields count="6">
    <pivotField showAll="0">
      <items count="5">
        <item x="0"/>
        <item x="3"/>
        <item x="1"/>
        <item x="2"/>
        <item t="default"/>
      </items>
    </pivotField>
    <pivotField axis="axisCol" showAll="0" sortType="descending">
      <items count="12">
        <item x="0"/>
        <item x="1"/>
        <item x="2"/>
        <item x="3"/>
        <item x="5"/>
        <item h="1" m="1" x="9"/>
        <item h="1" x="6"/>
        <item h="1" m="1" x="10"/>
        <item x="8"/>
        <item x="7"/>
        <item h="1" x="4"/>
        <item t="default"/>
      </items>
      <autoSortScope>
        <pivotArea dataOnly="0" outline="0" fieldPosition="0">
          <references count="1">
            <reference field="4294967294" count="1" selected="0">
              <x v="0"/>
            </reference>
          </references>
        </pivotArea>
      </autoSortScope>
    </pivotField>
    <pivotField showAll="0"/>
    <pivotField axis="axisRow" numFmtId="17" showAll="0">
      <items count="24">
        <item x="0"/>
        <item x="1"/>
        <item x="2"/>
        <item x="3"/>
        <item x="4"/>
        <item x="5"/>
        <item h="1" m="1" x="14"/>
        <item h="1" m="1" x="16"/>
        <item h="1" m="1" x="18"/>
        <item h="1" m="1" x="12"/>
        <item h="1" m="1" x="17"/>
        <item h="1" m="1" x="22"/>
        <item h="1" m="1" x="13"/>
        <item h="1" m="1" x="15"/>
        <item h="1" m="1" x="21"/>
        <item h="1" m="1" x="20"/>
        <item h="1" m="1" x="19"/>
        <item x="6"/>
        <item x="7"/>
        <item x="8"/>
        <item x="9"/>
        <item x="10"/>
        <item x="11"/>
        <item t="default"/>
      </items>
    </pivotField>
    <pivotField dataField="1" showAll="0"/>
    <pivotField showAll="0">
      <items count="19">
        <item x="0"/>
        <item x="1"/>
        <item x="2"/>
        <item x="3"/>
        <item x="4"/>
        <item x="5"/>
        <item x="6"/>
        <item x="7"/>
        <item x="8"/>
        <item x="9"/>
        <item x="10"/>
        <item x="11"/>
        <item x="12"/>
        <item x="13"/>
        <item x="14"/>
        <item x="15"/>
        <item x="16"/>
        <item x="17"/>
        <item t="default"/>
      </items>
    </pivotField>
  </pivotFields>
  <rowFields count="1">
    <field x="3"/>
  </rowFields>
  <rowItems count="13">
    <i>
      <x/>
    </i>
    <i>
      <x v="1"/>
    </i>
    <i>
      <x v="2"/>
    </i>
    <i>
      <x v="3"/>
    </i>
    <i>
      <x v="4"/>
    </i>
    <i>
      <x v="5"/>
    </i>
    <i>
      <x v="17"/>
    </i>
    <i>
      <x v="18"/>
    </i>
    <i>
      <x v="19"/>
    </i>
    <i>
      <x v="20"/>
    </i>
    <i>
      <x v="21"/>
    </i>
    <i>
      <x v="22"/>
    </i>
    <i t="grand">
      <x/>
    </i>
  </rowItems>
  <colFields count="1">
    <field x="1"/>
  </colFields>
  <colItems count="8">
    <i>
      <x v="2"/>
    </i>
    <i>
      <x/>
    </i>
    <i>
      <x v="3"/>
    </i>
    <i>
      <x v="1"/>
    </i>
    <i>
      <x v="9"/>
    </i>
    <i>
      <x v="4"/>
    </i>
    <i>
      <x v="8"/>
    </i>
    <i t="grand">
      <x/>
    </i>
  </colItems>
  <dataFields count="1">
    <dataField name="Sum of Followers" fld="4" baseField="3" baseItem="1" numFmtId="37"/>
  </dataFields>
  <formats count="3">
    <format dxfId="11">
      <pivotArea outline="0" collapsedLevelsAreSubtotals="1" fieldPosition="0"/>
    </format>
    <format dxfId="10">
      <pivotArea collapsedLevelsAreSubtotals="1" fieldPosition="0">
        <references count="2">
          <reference field="1" count="0" selected="0"/>
          <reference field="3" count="0"/>
        </references>
      </pivotArea>
    </format>
    <format dxfId="9">
      <pivotArea outline="0" fieldPosition="0">
        <references count="1">
          <reference field="4294967294" count="1">
            <x v="0"/>
          </reference>
        </references>
      </pivotArea>
    </format>
  </formats>
  <chartFormats count="18">
    <chartFormat chart="2" format="9" series="1">
      <pivotArea type="data" outline="0" fieldPosition="0">
        <references count="2">
          <reference field="4294967294" count="1" selected="0">
            <x v="0"/>
          </reference>
          <reference field="1" count="1" selected="0">
            <x v="2"/>
          </reference>
        </references>
      </pivotArea>
    </chartFormat>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3"/>
          </reference>
        </references>
      </pivotArea>
    </chartFormat>
    <chartFormat chart="2" format="12" series="1">
      <pivotArea type="data" outline="0" fieldPosition="0">
        <references count="2">
          <reference field="4294967294" count="1" selected="0">
            <x v="0"/>
          </reference>
          <reference field="1" count="1" selected="0">
            <x v="1"/>
          </reference>
        </references>
      </pivotArea>
    </chartFormat>
    <chartFormat chart="2" format="13" series="1">
      <pivotArea type="data" outline="0" fieldPosition="0">
        <references count="2">
          <reference field="4294967294" count="1" selected="0">
            <x v="0"/>
          </reference>
          <reference field="1" count="1" selected="0">
            <x v="10"/>
          </reference>
        </references>
      </pivotArea>
    </chartFormat>
    <chartFormat chart="2" format="14" series="1">
      <pivotArea type="data" outline="0" fieldPosition="0">
        <references count="2">
          <reference field="4294967294" count="1" selected="0">
            <x v="0"/>
          </reference>
          <reference field="1" count="1" selected="0">
            <x v="9"/>
          </reference>
        </references>
      </pivotArea>
    </chartFormat>
    <chartFormat chart="2" format="15" series="1">
      <pivotArea type="data" outline="0" fieldPosition="0">
        <references count="2">
          <reference field="4294967294" count="1" selected="0">
            <x v="0"/>
          </reference>
          <reference field="1" count="1" selected="0">
            <x v="4"/>
          </reference>
        </references>
      </pivotArea>
    </chartFormat>
    <chartFormat chart="2" format="16" series="1">
      <pivotArea type="data" outline="0" fieldPosition="0">
        <references count="2">
          <reference field="4294967294" count="1" selected="0">
            <x v="0"/>
          </reference>
          <reference field="1" count="1" selected="0">
            <x v="8"/>
          </reference>
        </references>
      </pivotArea>
    </chartFormat>
    <chartFormat chart="2" format="17" series="1">
      <pivotArea type="data" outline="0" fieldPosition="0">
        <references count="2">
          <reference field="4294967294" count="1" selected="0">
            <x v="0"/>
          </reference>
          <reference field="1" count="1" selected="0">
            <x v="6"/>
          </reference>
        </references>
      </pivotArea>
    </chartFormat>
    <chartFormat chart="3" format="27" series="1">
      <pivotArea type="data" outline="0" fieldPosition="0">
        <references count="2">
          <reference field="4294967294" count="1" selected="0">
            <x v="0"/>
          </reference>
          <reference field="1" count="1" selected="0">
            <x v="2"/>
          </reference>
        </references>
      </pivotArea>
    </chartFormat>
    <chartFormat chart="3" format="28" series="1">
      <pivotArea type="data" outline="0" fieldPosition="0">
        <references count="2">
          <reference field="4294967294" count="1" selected="0">
            <x v="0"/>
          </reference>
          <reference field="1" count="1" selected="0">
            <x v="0"/>
          </reference>
        </references>
      </pivotArea>
    </chartFormat>
    <chartFormat chart="3" format="29" series="1">
      <pivotArea type="data" outline="0" fieldPosition="0">
        <references count="2">
          <reference field="4294967294" count="1" selected="0">
            <x v="0"/>
          </reference>
          <reference field="1" count="1" selected="0">
            <x v="3"/>
          </reference>
        </references>
      </pivotArea>
    </chartFormat>
    <chartFormat chart="3" format="30" series="1">
      <pivotArea type="data" outline="0" fieldPosition="0">
        <references count="2">
          <reference field="4294967294" count="1" selected="0">
            <x v="0"/>
          </reference>
          <reference field="1" count="1" selected="0">
            <x v="1"/>
          </reference>
        </references>
      </pivotArea>
    </chartFormat>
    <chartFormat chart="3" format="31" series="1">
      <pivotArea type="data" outline="0" fieldPosition="0">
        <references count="2">
          <reference field="4294967294" count="1" selected="0">
            <x v="0"/>
          </reference>
          <reference field="1" count="1" selected="0">
            <x v="10"/>
          </reference>
        </references>
      </pivotArea>
    </chartFormat>
    <chartFormat chart="3" format="32" series="1">
      <pivotArea type="data" outline="0" fieldPosition="0">
        <references count="2">
          <reference field="4294967294" count="1" selected="0">
            <x v="0"/>
          </reference>
          <reference field="1" count="1" selected="0">
            <x v="9"/>
          </reference>
        </references>
      </pivotArea>
    </chartFormat>
    <chartFormat chart="3" format="33" series="1">
      <pivotArea type="data" outline="0" fieldPosition="0">
        <references count="2">
          <reference field="4294967294" count="1" selected="0">
            <x v="0"/>
          </reference>
          <reference field="1" count="1" selected="0">
            <x v="4"/>
          </reference>
        </references>
      </pivotArea>
    </chartFormat>
    <chartFormat chart="3" format="34" series="1">
      <pivotArea type="data" outline="0" fieldPosition="0">
        <references count="2">
          <reference field="4294967294" count="1" selected="0">
            <x v="0"/>
          </reference>
          <reference field="1" count="1" selected="0">
            <x v="8"/>
          </reference>
        </references>
      </pivotArea>
    </chartFormat>
    <chartFormat chart="3" format="35"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C934E9-082E-443B-9B44-825D10234ED7}" name="PivotTable13" cacheId="0" applyNumberFormats="0" applyBorderFormats="0" applyFontFormats="0" applyPatternFormats="0" applyAlignmentFormats="0" applyWidthHeightFormats="1" dataCaption="Values" updatedVersion="8" minRefreshableVersion="5" useAutoFormatting="1" colGrandTotals="0" itemPrintTitles="1" createdVersion="7" indent="0" outline="1" outlineData="1" multipleFieldFilters="0">
  <location ref="A71:M80" firstHeaderRow="1" firstDataRow="2" firstDataCol="1" rowPageCount="1" colPageCount="1"/>
  <pivotFields count="6">
    <pivotField axis="axisPage" multipleItemSelectionAllowed="1" showAll="0">
      <items count="5">
        <item x="0"/>
        <item x="3"/>
        <item x="1"/>
        <item x="2"/>
        <item t="default"/>
      </items>
    </pivotField>
    <pivotField axis="axisRow" showAll="0" sortType="descending">
      <items count="12">
        <item x="0"/>
        <item x="1"/>
        <item x="2"/>
        <item x="3"/>
        <item x="5"/>
        <item h="1" m="1" x="9"/>
        <item h="1" x="6"/>
        <item x="8"/>
        <item x="7"/>
        <item h="1" x="4"/>
        <item h="1" m="1" x="10"/>
        <item t="default"/>
      </items>
      <autoSortScope>
        <pivotArea dataOnly="0" outline="0" fieldPosition="0">
          <references count="1">
            <reference field="4294967294" count="1" selected="0">
              <x v="0"/>
            </reference>
          </references>
        </pivotArea>
      </autoSortScope>
    </pivotField>
    <pivotField showAll="0"/>
    <pivotField axis="axisCol" numFmtId="17" showAll="0">
      <items count="24">
        <item x="0"/>
        <item x="1"/>
        <item x="2"/>
        <item x="3"/>
        <item x="4"/>
        <item x="5"/>
        <item h="1" m="1" x="14"/>
        <item h="1" m="1" x="16"/>
        <item h="1" m="1" x="18"/>
        <item h="1" m="1" x="12"/>
        <item h="1" m="1" x="17"/>
        <item h="1" m="1" x="22"/>
        <item h="1" m="1" x="13"/>
        <item h="1" m="1" x="15"/>
        <item h="1" m="1" x="21"/>
        <item h="1" m="1" x="20"/>
        <item h="1" m="1" x="19"/>
        <item x="6"/>
        <item x="7"/>
        <item x="8"/>
        <item x="9"/>
        <item x="10"/>
        <item x="11"/>
        <item t="default"/>
      </items>
    </pivotField>
    <pivotField dataField="1" showAll="0"/>
    <pivotField showAll="0" defaultSubtotal="0">
      <items count="18">
        <item x="0"/>
        <item x="1"/>
        <item x="2"/>
        <item x="3"/>
        <item x="4"/>
        <item x="5"/>
        <item x="6"/>
        <item x="7"/>
        <item x="8"/>
        <item x="9"/>
        <item x="10"/>
        <item x="11"/>
        <item x="12"/>
        <item x="13"/>
        <item x="14"/>
        <item x="15"/>
        <item x="16"/>
        <item x="17"/>
      </items>
    </pivotField>
  </pivotFields>
  <rowFields count="1">
    <field x="1"/>
  </rowFields>
  <rowItems count="8">
    <i>
      <x v="2"/>
    </i>
    <i>
      <x/>
    </i>
    <i>
      <x v="3"/>
    </i>
    <i>
      <x v="1"/>
    </i>
    <i>
      <x v="8"/>
    </i>
    <i>
      <x v="4"/>
    </i>
    <i>
      <x v="7"/>
    </i>
    <i t="grand">
      <x/>
    </i>
  </rowItems>
  <colFields count="1">
    <field x="3"/>
  </colFields>
  <colItems count="12">
    <i>
      <x/>
    </i>
    <i>
      <x v="1"/>
    </i>
    <i>
      <x v="2"/>
    </i>
    <i>
      <x v="3"/>
    </i>
    <i>
      <x v="4"/>
    </i>
    <i>
      <x v="5"/>
    </i>
    <i>
      <x v="17"/>
    </i>
    <i>
      <x v="18"/>
    </i>
    <i>
      <x v="19"/>
    </i>
    <i>
      <x v="20"/>
    </i>
    <i>
      <x v="21"/>
    </i>
    <i>
      <x v="22"/>
    </i>
  </colItems>
  <pageFields count="1">
    <pageField fld="0" hier="-1"/>
  </pageFields>
  <dataFields count="1">
    <dataField name="Sum of Followers" fld="4" baseField="0" baseItem="0"/>
  </dataFields>
  <formats count="1">
    <format dxfId="0">
      <pivotArea collapsedLevelsAreSubtotals="1" fieldPosition="0">
        <references count="2">
          <reference field="4294967294" count="1" selected="0">
            <x v="0"/>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BAC959-4855-41A2-8500-E59FB2F62AF3}" name="PivotTable12" cacheId="0" applyNumberFormats="0" applyBorderFormats="0" applyFontFormats="0" applyPatternFormats="0" applyAlignmentFormats="0" applyWidthHeightFormats="1" dataCaption="Values" updatedVersion="8" minRefreshableVersion="5" useAutoFormatting="1" colGrandTotals="0" itemPrintTitles="1" createdVersion="7" indent="0" outline="1" outlineData="1" multipleFieldFilters="0">
  <location ref="A49:M58" firstHeaderRow="1" firstDataRow="2" firstDataCol="1" rowPageCount="1" colPageCount="1"/>
  <pivotFields count="6">
    <pivotField axis="axisPage" multipleItemSelectionAllowed="1" showAll="0">
      <items count="5">
        <item x="0"/>
        <item x="3"/>
        <item x="1"/>
        <item x="2"/>
        <item t="default"/>
      </items>
    </pivotField>
    <pivotField axis="axisRow" showAll="0" sortType="descending">
      <items count="12">
        <item x="0"/>
        <item x="1"/>
        <item x="2"/>
        <item x="3"/>
        <item x="5"/>
        <item h="1" m="1" x="9"/>
        <item h="1" x="6"/>
        <item x="8"/>
        <item x="7"/>
        <item h="1" x="4"/>
        <item h="1" m="1" x="10"/>
        <item t="default"/>
      </items>
      <autoSortScope>
        <pivotArea dataOnly="0" outline="0" fieldPosition="0">
          <references count="1">
            <reference field="4294967294" count="1" selected="0">
              <x v="0"/>
            </reference>
          </references>
        </pivotArea>
      </autoSortScope>
    </pivotField>
    <pivotField showAll="0"/>
    <pivotField axis="axisCol" numFmtId="17" showAll="0">
      <items count="24">
        <item x="0"/>
        <item x="1"/>
        <item x="2"/>
        <item x="3"/>
        <item x="4"/>
        <item x="5"/>
        <item h="1" m="1" x="14"/>
        <item h="1" m="1" x="16"/>
        <item h="1" m="1" x="18"/>
        <item h="1" m="1" x="12"/>
        <item h="1" m="1" x="17"/>
        <item h="1" m="1" x="22"/>
        <item h="1" m="1" x="13"/>
        <item h="1" m="1" x="15"/>
        <item h="1" m="1" x="21"/>
        <item h="1" m="1" x="20"/>
        <item h="1" m="1" x="19"/>
        <item x="6"/>
        <item x="7"/>
        <item x="8"/>
        <item x="9"/>
        <item x="10"/>
        <item x="11"/>
        <item t="default"/>
      </items>
    </pivotField>
    <pivotField dataField="1" showAll="0"/>
    <pivotField showAll="0" defaultSubtotal="0">
      <items count="18">
        <item x="0"/>
        <item x="1"/>
        <item x="2"/>
        <item x="3"/>
        <item x="4"/>
        <item x="5"/>
        <item x="6"/>
        <item x="7"/>
        <item x="8"/>
        <item x="9"/>
        <item x="10"/>
        <item x="11"/>
        <item x="12"/>
        <item x="13"/>
        <item x="14"/>
        <item x="15"/>
        <item x="16"/>
        <item x="17"/>
      </items>
    </pivotField>
  </pivotFields>
  <rowFields count="1">
    <field x="1"/>
  </rowFields>
  <rowItems count="8">
    <i>
      <x v="2"/>
    </i>
    <i>
      <x/>
    </i>
    <i>
      <x v="3"/>
    </i>
    <i>
      <x v="1"/>
    </i>
    <i>
      <x v="8"/>
    </i>
    <i>
      <x v="4"/>
    </i>
    <i>
      <x v="7"/>
    </i>
    <i t="grand">
      <x/>
    </i>
  </rowItems>
  <colFields count="1">
    <field x="3"/>
  </colFields>
  <colItems count="12">
    <i>
      <x/>
    </i>
    <i>
      <x v="1"/>
    </i>
    <i>
      <x v="2"/>
    </i>
    <i>
      <x v="3"/>
    </i>
    <i>
      <x v="4"/>
    </i>
    <i>
      <x v="5"/>
    </i>
    <i>
      <x v="17"/>
    </i>
    <i>
      <x v="18"/>
    </i>
    <i>
      <x v="19"/>
    </i>
    <i>
      <x v="20"/>
    </i>
    <i>
      <x v="21"/>
    </i>
    <i>
      <x v="22"/>
    </i>
  </colItems>
  <pageFields count="1">
    <pageField fld="0" hier="-1"/>
  </pageFields>
  <dataFields count="1">
    <dataField name="Sum of Followers" fld="4" baseField="0" baseItem="0"/>
  </dataFields>
  <formats count="1">
    <format dxfId="1">
      <pivotArea collapsedLevelsAreSubtotals="1" fieldPosition="0">
        <references count="2">
          <reference field="4294967294" count="1" selected="0">
            <x v="0"/>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855FB6-17F5-4E3A-A367-D737DACFC20B}" name="PivotTable11" cacheId="0" applyNumberFormats="0" applyBorderFormats="0" applyFontFormats="0" applyPatternFormats="0" applyAlignmentFormats="0" applyWidthHeightFormats="1" dataCaption="Values" updatedVersion="8" minRefreshableVersion="5" useAutoFormatting="1" colGrandTotals="0" itemPrintTitles="1" createdVersion="7" indent="0" outline="1" outlineData="1" multipleFieldFilters="0">
  <location ref="A28:M37" firstHeaderRow="1" firstDataRow="2" firstDataCol="1" rowPageCount="1" colPageCount="1"/>
  <pivotFields count="6">
    <pivotField axis="axisPage" multipleItemSelectionAllowed="1" showAll="0">
      <items count="5">
        <item x="0"/>
        <item x="3"/>
        <item x="1"/>
        <item x="2"/>
        <item t="default"/>
      </items>
    </pivotField>
    <pivotField axis="axisRow" showAll="0" sortType="descending">
      <items count="12">
        <item x="0"/>
        <item x="1"/>
        <item x="2"/>
        <item x="3"/>
        <item x="5"/>
        <item h="1" m="1" x="9"/>
        <item h="1" x="6"/>
        <item x="8"/>
        <item x="7"/>
        <item h="1" x="4"/>
        <item h="1" m="1" x="10"/>
        <item t="default"/>
      </items>
      <autoSortScope>
        <pivotArea dataOnly="0" outline="0" fieldPosition="0">
          <references count="1">
            <reference field="4294967294" count="1" selected="0">
              <x v="0"/>
            </reference>
          </references>
        </pivotArea>
      </autoSortScope>
    </pivotField>
    <pivotField showAll="0"/>
    <pivotField axis="axisCol" numFmtId="17" showAll="0">
      <items count="24">
        <item x="0"/>
        <item x="1"/>
        <item x="2"/>
        <item x="3"/>
        <item x="4"/>
        <item x="5"/>
        <item h="1" m="1" x="14"/>
        <item h="1" m="1" x="16"/>
        <item h="1" m="1" x="18"/>
        <item h="1" m="1" x="12"/>
        <item h="1" m="1" x="17"/>
        <item h="1" m="1" x="22"/>
        <item h="1" m="1" x="13"/>
        <item h="1" m="1" x="15"/>
        <item h="1" m="1" x="21"/>
        <item h="1" m="1" x="20"/>
        <item h="1" m="1" x="19"/>
        <item x="6"/>
        <item x="7"/>
        <item x="8"/>
        <item x="9"/>
        <item x="10"/>
        <item x="11"/>
        <item t="default"/>
      </items>
    </pivotField>
    <pivotField dataField="1" showAll="0"/>
    <pivotField showAll="0" defaultSubtotal="0">
      <items count="18">
        <item x="0"/>
        <item x="1"/>
        <item x="2"/>
        <item x="3"/>
        <item x="4"/>
        <item x="5"/>
        <item x="6"/>
        <item x="7"/>
        <item x="8"/>
        <item x="9"/>
        <item x="10"/>
        <item x="11"/>
        <item x="12"/>
        <item x="13"/>
        <item x="14"/>
        <item x="15"/>
        <item x="16"/>
        <item x="17"/>
      </items>
    </pivotField>
  </pivotFields>
  <rowFields count="1">
    <field x="1"/>
  </rowFields>
  <rowItems count="8">
    <i>
      <x v="2"/>
    </i>
    <i>
      <x/>
    </i>
    <i>
      <x v="3"/>
    </i>
    <i>
      <x v="1"/>
    </i>
    <i>
      <x v="8"/>
    </i>
    <i>
      <x v="4"/>
    </i>
    <i>
      <x v="7"/>
    </i>
    <i t="grand">
      <x/>
    </i>
  </rowItems>
  <colFields count="1">
    <field x="3"/>
  </colFields>
  <colItems count="12">
    <i>
      <x/>
    </i>
    <i>
      <x v="1"/>
    </i>
    <i>
      <x v="2"/>
    </i>
    <i>
      <x v="3"/>
    </i>
    <i>
      <x v="4"/>
    </i>
    <i>
      <x v="5"/>
    </i>
    <i>
      <x v="17"/>
    </i>
    <i>
      <x v="18"/>
    </i>
    <i>
      <x v="19"/>
    </i>
    <i>
      <x v="20"/>
    </i>
    <i>
      <x v="21"/>
    </i>
    <i>
      <x v="22"/>
    </i>
  </colItems>
  <pageFields count="1">
    <pageField fld="0" hier="-1"/>
  </pageFields>
  <dataFields count="1">
    <dataField name="Sum of Followers" fld="4" baseField="0" baseItem="0"/>
  </dataFields>
  <formats count="1">
    <format dxfId="2">
      <pivotArea collapsedLevelsAreSubtotals="1" fieldPosition="0">
        <references count="2">
          <reference field="4294967294" count="1" selected="0">
            <x v="0"/>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1D06AA-7499-4487-830F-93D2C89D690B}"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3:N12" firstHeaderRow="1" firstDataRow="2" firstDataCol="1" rowPageCount="1" colPageCount="1"/>
  <pivotFields count="6">
    <pivotField axis="axisPage" multipleItemSelectionAllowed="1" showAll="0">
      <items count="5">
        <item x="0"/>
        <item x="3"/>
        <item x="1"/>
        <item x="2"/>
        <item t="default"/>
      </items>
    </pivotField>
    <pivotField axis="axisRow" showAll="0" sortType="descending">
      <items count="12">
        <item x="0"/>
        <item x="1"/>
        <item x="2"/>
        <item x="3"/>
        <item x="5"/>
        <item h="1" m="1" x="9"/>
        <item h="1" x="6"/>
        <item x="8"/>
        <item x="7"/>
        <item h="1" x="4"/>
        <item h="1" m="1" x="10"/>
        <item t="default"/>
      </items>
      <autoSortScope>
        <pivotArea dataOnly="0" outline="0" fieldPosition="0">
          <references count="1">
            <reference field="4294967294" count="1" selected="0">
              <x v="0"/>
            </reference>
          </references>
        </pivotArea>
      </autoSortScope>
    </pivotField>
    <pivotField showAll="0"/>
    <pivotField axis="axisCol" numFmtId="17" showAll="0">
      <items count="24">
        <item x="0"/>
        <item x="1"/>
        <item x="2"/>
        <item x="3"/>
        <item x="4"/>
        <item x="5"/>
        <item h="1" m="1" x="14"/>
        <item h="1" m="1" x="16"/>
        <item h="1" m="1" x="18"/>
        <item h="1" m="1" x="12"/>
        <item h="1" m="1" x="17"/>
        <item h="1" m="1" x="22"/>
        <item h="1" m="1" x="13"/>
        <item h="1" m="1" x="15"/>
        <item h="1" m="1" x="21"/>
        <item h="1" m="1" x="20"/>
        <item h="1" m="1" x="19"/>
        <item x="6"/>
        <item x="7"/>
        <item x="8"/>
        <item x="9"/>
        <item x="10"/>
        <item x="11"/>
        <item t="default"/>
      </items>
    </pivotField>
    <pivotField dataField="1" showAll="0"/>
    <pivotField showAll="0" defaultSubtotal="0">
      <items count="18">
        <item x="0"/>
        <item x="1"/>
        <item x="2"/>
        <item x="3"/>
        <item x="4"/>
        <item x="5"/>
        <item x="6"/>
        <item x="7"/>
        <item x="8"/>
        <item x="9"/>
        <item x="10"/>
        <item x="11"/>
        <item x="12"/>
        <item x="13"/>
        <item x="14"/>
        <item x="15"/>
        <item x="16"/>
        <item x="17"/>
      </items>
    </pivotField>
  </pivotFields>
  <rowFields count="1">
    <field x="1"/>
  </rowFields>
  <rowItems count="8">
    <i>
      <x v="2"/>
    </i>
    <i>
      <x/>
    </i>
    <i>
      <x v="3"/>
    </i>
    <i>
      <x v="1"/>
    </i>
    <i>
      <x v="8"/>
    </i>
    <i>
      <x v="4"/>
    </i>
    <i>
      <x v="7"/>
    </i>
    <i t="grand">
      <x/>
    </i>
  </rowItems>
  <colFields count="1">
    <field x="3"/>
  </colFields>
  <colItems count="13">
    <i>
      <x/>
    </i>
    <i>
      <x v="1"/>
    </i>
    <i>
      <x v="2"/>
    </i>
    <i>
      <x v="3"/>
    </i>
    <i>
      <x v="4"/>
    </i>
    <i>
      <x v="5"/>
    </i>
    <i>
      <x v="17"/>
    </i>
    <i>
      <x v="18"/>
    </i>
    <i>
      <x v="19"/>
    </i>
    <i>
      <x v="20"/>
    </i>
    <i>
      <x v="21"/>
    </i>
    <i>
      <x v="22"/>
    </i>
    <i t="grand">
      <x/>
    </i>
  </colItems>
  <pageFields count="1">
    <pageField fld="0" hier="-1"/>
  </pageFields>
  <dataFields count="1">
    <dataField name="Sum of Followers" fld="4" baseField="0" baseItem="0"/>
  </dataFields>
  <formats count="1">
    <format dxfId="3">
      <pivotArea collapsedLevelsAreSubtotals="1" fieldPosition="0">
        <references count="2">
          <reference field="4294967294" count="1" selected="0">
            <x v="0"/>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C87643-4DFE-4584-A879-F05D7A2A0801}" name="PivotTable14" cacheId="0" applyNumberFormats="0" applyBorderFormats="0" applyFontFormats="0" applyPatternFormats="0" applyAlignmentFormats="0" applyWidthHeightFormats="1" dataCaption="Values" updatedVersion="8" minRefreshableVersion="5" useAutoFormatting="1" colGrandTotals="0" itemPrintTitles="1" createdVersion="7" indent="0" outline="1" outlineData="1" multipleFieldFilters="0">
  <location ref="A91:M100" firstHeaderRow="1" firstDataRow="2" firstDataCol="1" rowPageCount="1" colPageCount="1"/>
  <pivotFields count="6">
    <pivotField axis="axisPage" multipleItemSelectionAllowed="1" showAll="0">
      <items count="5">
        <item x="0"/>
        <item x="3"/>
        <item x="1"/>
        <item x="2"/>
        <item t="default"/>
      </items>
    </pivotField>
    <pivotField axis="axisRow" showAll="0" sortType="descending">
      <items count="12">
        <item x="0"/>
        <item x="1"/>
        <item x="2"/>
        <item x="3"/>
        <item x="5"/>
        <item h="1" m="1" x="9"/>
        <item h="1" x="6"/>
        <item x="8"/>
        <item x="7"/>
        <item h="1" x="4"/>
        <item h="1" m="1" x="10"/>
        <item t="default"/>
      </items>
      <autoSortScope>
        <pivotArea dataOnly="0" outline="0" fieldPosition="0">
          <references count="1">
            <reference field="4294967294" count="1" selected="0">
              <x v="0"/>
            </reference>
          </references>
        </pivotArea>
      </autoSortScope>
    </pivotField>
    <pivotField showAll="0"/>
    <pivotField axis="axisCol" numFmtId="17" showAll="0">
      <items count="24">
        <item x="0"/>
        <item x="1"/>
        <item x="2"/>
        <item x="3"/>
        <item x="4"/>
        <item x="5"/>
        <item h="1" m="1" x="14"/>
        <item h="1" m="1" x="16"/>
        <item h="1" m="1" x="18"/>
        <item h="1" m="1" x="12"/>
        <item h="1" m="1" x="17"/>
        <item h="1" m="1" x="22"/>
        <item h="1" m="1" x="13"/>
        <item h="1" m="1" x="15"/>
        <item h="1" m="1" x="21"/>
        <item h="1" m="1" x="20"/>
        <item h="1" m="1" x="19"/>
        <item x="6"/>
        <item x="7"/>
        <item x="8"/>
        <item x="9"/>
        <item x="10"/>
        <item x="11"/>
        <item t="default"/>
      </items>
    </pivotField>
    <pivotField dataField="1" showAll="0"/>
    <pivotField showAll="0" defaultSubtotal="0">
      <items count="18">
        <item x="0"/>
        <item x="1"/>
        <item x="2"/>
        <item x="3"/>
        <item x="4"/>
        <item x="5"/>
        <item x="6"/>
        <item x="7"/>
        <item x="8"/>
        <item x="9"/>
        <item x="10"/>
        <item x="11"/>
        <item x="12"/>
        <item x="13"/>
        <item x="14"/>
        <item x="15"/>
        <item x="16"/>
        <item x="17"/>
      </items>
    </pivotField>
  </pivotFields>
  <rowFields count="1">
    <field x="1"/>
  </rowFields>
  <rowItems count="8">
    <i>
      <x v="2"/>
    </i>
    <i>
      <x/>
    </i>
    <i>
      <x v="3"/>
    </i>
    <i>
      <x v="1"/>
    </i>
    <i>
      <x v="8"/>
    </i>
    <i>
      <x v="4"/>
    </i>
    <i>
      <x v="7"/>
    </i>
    <i t="grand">
      <x/>
    </i>
  </rowItems>
  <colFields count="1">
    <field x="3"/>
  </colFields>
  <colItems count="12">
    <i>
      <x/>
    </i>
    <i>
      <x v="1"/>
    </i>
    <i>
      <x v="2"/>
    </i>
    <i>
      <x v="3"/>
    </i>
    <i>
      <x v="4"/>
    </i>
    <i>
      <x v="5"/>
    </i>
    <i>
      <x v="17"/>
    </i>
    <i>
      <x v="18"/>
    </i>
    <i>
      <x v="19"/>
    </i>
    <i>
      <x v="20"/>
    </i>
    <i>
      <x v="21"/>
    </i>
    <i>
      <x v="22"/>
    </i>
  </colItems>
  <pageFields count="1">
    <pageField fld="0" hier="-1"/>
  </pageFields>
  <dataFields count="1">
    <dataField name="Sum of Followers" fld="4" baseField="0" baseItem="0"/>
  </dataFields>
  <formats count="1">
    <format dxfId="4">
      <pivotArea collapsedLevelsAreSubtotals="1" fieldPosition="0">
        <references count="2">
          <reference field="4294967294" count="1" selected="0">
            <x v="0"/>
          </reference>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D8562A-1265-4680-857C-FA2CAF45C4B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M112" firstHeaderRow="1" firstDataRow="2" firstDataCol="1"/>
  <pivotFields count="6">
    <pivotField axis="axisRow" showAll="0">
      <items count="5">
        <item x="0"/>
        <item x="3"/>
        <item x="1"/>
        <item x="2"/>
        <item t="default"/>
      </items>
    </pivotField>
    <pivotField showAll="0"/>
    <pivotField axis="axisRow" showAll="0">
      <items count="80">
        <item x="64"/>
        <item x="46"/>
        <item x="52"/>
        <item x="61"/>
        <item x="63"/>
        <item x="54"/>
        <item x="0"/>
        <item x="18"/>
        <item x="43"/>
        <item x="42"/>
        <item x="17"/>
        <item x="41"/>
        <item x="45"/>
        <item x="44"/>
        <item x="65"/>
        <item x="1"/>
        <item x="21"/>
        <item x="2"/>
        <item x="3"/>
        <item x="48"/>
        <item x="47"/>
        <item x="66"/>
        <item x="4"/>
        <item x="49"/>
        <item x="69"/>
        <item x="68"/>
        <item x="67"/>
        <item x="5"/>
        <item x="50"/>
        <item x="22"/>
        <item x="51"/>
        <item x="8"/>
        <item x="10"/>
        <item x="24"/>
        <item x="53"/>
        <item x="9"/>
        <item x="23"/>
        <item x="6"/>
        <item x="20"/>
        <item x="19"/>
        <item x="14"/>
        <item x="58"/>
        <item x="59"/>
        <item x="27"/>
        <item x="29"/>
        <item x="30"/>
        <item x="28"/>
        <item x="60"/>
        <item x="31"/>
        <item x="35"/>
        <item x="73"/>
        <item x="34"/>
        <item x="15"/>
        <item x="33"/>
        <item x="32"/>
        <item x="72"/>
        <item x="76"/>
        <item x="78"/>
        <item x="75"/>
        <item x="77"/>
        <item x="74"/>
        <item x="39"/>
        <item x="36"/>
        <item x="16"/>
        <item x="40"/>
        <item x="37"/>
        <item x="38"/>
        <item x="7"/>
        <item x="62"/>
        <item x="71"/>
        <item x="11"/>
        <item x="12"/>
        <item x="25"/>
        <item x="26"/>
        <item x="57"/>
        <item x="55"/>
        <item x="13"/>
        <item x="56"/>
        <item x="70"/>
        <item t="default"/>
      </items>
    </pivotField>
    <pivotField axis="axisCol" numFmtId="17" showAll="0">
      <items count="24">
        <item x="0"/>
        <item x="1"/>
        <item x="2"/>
        <item x="3"/>
        <item x="4"/>
        <item x="5"/>
        <item m="1" x="14"/>
        <item m="1" x="16"/>
        <item m="1" x="18"/>
        <item m="1" x="15"/>
        <item m="1" x="12"/>
        <item m="1" x="17"/>
        <item m="1" x="21"/>
        <item m="1" x="22"/>
        <item m="1" x="20"/>
        <item m="1" x="13"/>
        <item m="1" x="19"/>
        <item x="6"/>
        <item x="7"/>
        <item x="8"/>
        <item x="9"/>
        <item x="10"/>
        <item x="11"/>
        <item t="default"/>
      </items>
    </pivotField>
    <pivotField dataField="1" showAll="0"/>
    <pivotField showAll="0" defaultSubtotal="0">
      <items count="18">
        <item x="0"/>
        <item x="1"/>
        <item x="2"/>
        <item x="3"/>
        <item x="4"/>
        <item x="5"/>
        <item x="6"/>
        <item x="7"/>
        <item x="8"/>
        <item x="9"/>
        <item x="10"/>
        <item x="11"/>
        <item x="12"/>
        <item x="13"/>
        <item x="14"/>
        <item x="15"/>
        <item x="16"/>
        <item x="17"/>
      </items>
    </pivotField>
  </pivotFields>
  <rowFields count="2">
    <field x="0"/>
    <field x="2"/>
  </rowFields>
  <rowItems count="108">
    <i>
      <x/>
    </i>
    <i r="1">
      <x v="6"/>
    </i>
    <i r="1">
      <x v="15"/>
    </i>
    <i r="1">
      <x v="17"/>
    </i>
    <i r="1">
      <x v="18"/>
    </i>
    <i r="1">
      <x v="22"/>
    </i>
    <i r="1">
      <x v="27"/>
    </i>
    <i r="1">
      <x v="31"/>
    </i>
    <i r="1">
      <x v="32"/>
    </i>
    <i r="1">
      <x v="35"/>
    </i>
    <i r="1">
      <x v="37"/>
    </i>
    <i r="1">
      <x v="40"/>
    </i>
    <i r="1">
      <x v="52"/>
    </i>
    <i r="1">
      <x v="55"/>
    </i>
    <i r="1">
      <x v="63"/>
    </i>
    <i r="1">
      <x v="67"/>
    </i>
    <i r="1">
      <x v="70"/>
    </i>
    <i r="1">
      <x v="71"/>
    </i>
    <i r="1">
      <x v="76"/>
    </i>
    <i>
      <x v="1"/>
    </i>
    <i r="1">
      <x v="14"/>
    </i>
    <i r="1">
      <x v="21"/>
    </i>
    <i r="1">
      <x v="24"/>
    </i>
    <i r="1">
      <x v="25"/>
    </i>
    <i r="1">
      <x v="26"/>
    </i>
    <i r="1">
      <x v="27"/>
    </i>
    <i r="1">
      <x v="31"/>
    </i>
    <i r="1">
      <x v="34"/>
    </i>
    <i r="1">
      <x v="40"/>
    </i>
    <i r="1">
      <x v="52"/>
    </i>
    <i r="1">
      <x v="55"/>
    </i>
    <i r="1">
      <x v="69"/>
    </i>
    <i r="1">
      <x v="78"/>
    </i>
    <i>
      <x v="2"/>
    </i>
    <i r="1">
      <x v="6"/>
    </i>
    <i r="1">
      <x v="7"/>
    </i>
    <i r="1">
      <x v="10"/>
    </i>
    <i r="1">
      <x v="15"/>
    </i>
    <i r="1">
      <x v="16"/>
    </i>
    <i r="1">
      <x v="27"/>
    </i>
    <i r="1">
      <x v="29"/>
    </i>
    <i r="1">
      <x v="31"/>
    </i>
    <i r="1">
      <x v="33"/>
    </i>
    <i r="1">
      <x v="36"/>
    </i>
    <i r="1">
      <x v="37"/>
    </i>
    <i r="1">
      <x v="38"/>
    </i>
    <i r="1">
      <x v="39"/>
    </i>
    <i r="1">
      <x v="40"/>
    </i>
    <i r="1">
      <x v="43"/>
    </i>
    <i r="1">
      <x v="44"/>
    </i>
    <i r="1">
      <x v="45"/>
    </i>
    <i r="1">
      <x v="46"/>
    </i>
    <i r="1">
      <x v="48"/>
    </i>
    <i r="1">
      <x v="49"/>
    </i>
    <i r="1">
      <x v="50"/>
    </i>
    <i r="1">
      <x v="51"/>
    </i>
    <i r="1">
      <x v="52"/>
    </i>
    <i r="1">
      <x v="53"/>
    </i>
    <i r="1">
      <x v="54"/>
    </i>
    <i r="1">
      <x v="55"/>
    </i>
    <i r="1">
      <x v="56"/>
    </i>
    <i r="1">
      <x v="57"/>
    </i>
    <i r="1">
      <x v="58"/>
    </i>
    <i r="1">
      <x v="59"/>
    </i>
    <i r="1">
      <x v="61"/>
    </i>
    <i r="1">
      <x v="62"/>
    </i>
    <i r="1">
      <x v="63"/>
    </i>
    <i r="1">
      <x v="64"/>
    </i>
    <i r="1">
      <x v="65"/>
    </i>
    <i r="1">
      <x v="66"/>
    </i>
    <i r="1">
      <x v="70"/>
    </i>
    <i r="1">
      <x v="72"/>
    </i>
    <i r="1">
      <x v="73"/>
    </i>
    <i>
      <x v="3"/>
    </i>
    <i r="1">
      <x/>
    </i>
    <i r="1">
      <x v="1"/>
    </i>
    <i r="1">
      <x v="2"/>
    </i>
    <i r="1">
      <x v="3"/>
    </i>
    <i r="1">
      <x v="4"/>
    </i>
    <i r="1">
      <x v="5"/>
    </i>
    <i r="1">
      <x v="6"/>
    </i>
    <i r="1">
      <x v="8"/>
    </i>
    <i r="1">
      <x v="9"/>
    </i>
    <i r="1">
      <x v="11"/>
    </i>
    <i r="1">
      <x v="12"/>
    </i>
    <i r="1">
      <x v="13"/>
    </i>
    <i r="1">
      <x v="15"/>
    </i>
    <i r="1">
      <x v="17"/>
    </i>
    <i r="1">
      <x v="18"/>
    </i>
    <i r="1">
      <x v="19"/>
    </i>
    <i r="1">
      <x v="20"/>
    </i>
    <i r="1">
      <x v="23"/>
    </i>
    <i r="1">
      <x v="27"/>
    </i>
    <i r="1">
      <x v="28"/>
    </i>
    <i r="1">
      <x v="30"/>
    </i>
    <i r="1">
      <x v="31"/>
    </i>
    <i r="1">
      <x v="34"/>
    </i>
    <i r="1">
      <x v="41"/>
    </i>
    <i r="1">
      <x v="42"/>
    </i>
    <i r="1">
      <x v="47"/>
    </i>
    <i r="1">
      <x v="52"/>
    </i>
    <i r="1">
      <x v="55"/>
    </i>
    <i r="1">
      <x v="60"/>
    </i>
    <i r="1">
      <x v="68"/>
    </i>
    <i r="1">
      <x v="70"/>
    </i>
    <i r="1">
      <x v="74"/>
    </i>
    <i r="1">
      <x v="75"/>
    </i>
    <i r="1">
      <x v="77"/>
    </i>
  </rowItems>
  <colFields count="1">
    <field x="3"/>
  </colFields>
  <colItems count="12">
    <i>
      <x/>
    </i>
    <i>
      <x v="1"/>
    </i>
    <i>
      <x v="2"/>
    </i>
    <i>
      <x v="3"/>
    </i>
    <i>
      <x v="4"/>
    </i>
    <i>
      <x v="5"/>
    </i>
    <i>
      <x v="17"/>
    </i>
    <i>
      <x v="18"/>
    </i>
    <i>
      <x v="19"/>
    </i>
    <i>
      <x v="20"/>
    </i>
    <i>
      <x v="21"/>
    </i>
    <i>
      <x v="22"/>
    </i>
  </colItems>
  <dataFields count="1">
    <dataField name="Sum of Followers" fld="4"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1" xr10:uid="{E4D91E87-73D0-4918-84CC-3366D1ECDE79}" sourceName="Bank">
  <pivotTables>
    <pivotTable tabId="17" name="PivotTable17"/>
    <pivotTable tabId="17" name="PivotTable1"/>
    <pivotTable tabId="16" name="PivotTable2"/>
    <pivotTable tabId="16" name="PivotTable3"/>
    <pivotTable tabId="16" name="PivotTable4"/>
    <pivotTable tabId="18" name="PivotTable1"/>
    <pivotTable tabId="18" name="PivotTable11"/>
    <pivotTable tabId="18" name="PivotTable12"/>
    <pivotTable tabId="18" name="PivotTable13"/>
    <pivotTable tabId="18" name="PivotTable14"/>
    <pivotTable tabId="17" name="PivotTable3"/>
  </pivotTables>
  <data>
    <tabular pivotCacheId="1166759005">
      <items count="11">
        <i x="0" s="1"/>
        <i x="1" s="1"/>
        <i x="2" s="1"/>
        <i x="3" s="1"/>
        <i x="5" s="1"/>
        <i x="6"/>
        <i x="8" s="1"/>
        <i x="7" s="1"/>
        <i x="4"/>
        <i x="9" nd="1"/>
        <i x="1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4F76CBDC-7EDC-4FAA-8120-BCDA9F8D7A77}" sourceName="Platform">
  <pivotTables>
    <pivotTable tabId="16" name="PivotTable4"/>
    <pivotTable tabId="17" name="PivotTable1"/>
    <pivotTable tabId="17" name="PivotTable17"/>
    <pivotTable tabId="16" name="PivotTable2"/>
    <pivotTable tabId="16" name="PivotTable3"/>
    <pivotTable tabId="18" name="PivotTable1"/>
    <pivotTable tabId="18" name="PivotTable11"/>
    <pivotTable tabId="18" name="PivotTable12"/>
    <pivotTable tabId="18" name="PivotTable13"/>
    <pivotTable tabId="18" name="PivotTable14"/>
    <pivotTable tabId="17" name="PivotTable3"/>
  </pivotTables>
  <data>
    <tabular pivotCacheId="1166759005">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E2651EA1-4F75-471C-8DC6-74F4D2F949B2}" sourceName="Date">
  <pivotTables>
    <pivotTable tabId="16" name="PivotTable2"/>
    <pivotTable tabId="17" name="PivotTable1"/>
    <pivotTable tabId="17" name="PivotTable17"/>
    <pivotTable tabId="16" name="PivotTable3"/>
    <pivotTable tabId="16" name="PivotTable4"/>
    <pivotTable tabId="18" name="PivotTable1"/>
    <pivotTable tabId="18" name="PivotTable11"/>
    <pivotTable tabId="18" name="PivotTable12"/>
    <pivotTable tabId="18" name="PivotTable13"/>
    <pivotTable tabId="18" name="PivotTable14"/>
    <pivotTable tabId="17" name="PivotTable3"/>
  </pivotTables>
  <data>
    <tabular pivotCacheId="1166759005" showMissing="0" crossFilter="showItemsWithNoData">
      <items count="23">
        <i x="0" s="1"/>
        <i x="1" s="1"/>
        <i x="2" s="1"/>
        <i x="3" s="1"/>
        <i x="4" s="1"/>
        <i x="5" s="1"/>
        <i x="6" s="1"/>
        <i x="7" s="1"/>
        <i x="8" s="1"/>
        <i x="9" s="1"/>
        <i x="10" s="1"/>
        <i x="11" s="1"/>
        <i x="14" nd="1"/>
        <i x="16" nd="1"/>
        <i x="18" nd="1"/>
        <i x="15" nd="1"/>
        <i x="12" nd="1"/>
        <i x="17" nd="1"/>
        <i x="21" nd="1"/>
        <i x="22" nd="1"/>
        <i x="20" nd="1"/>
        <i x="13" nd="1"/>
        <i x="1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k 2" xr10:uid="{C9773C3D-C99B-4945-9448-5B5A25A846FF}" cache="Slicer_Bank1" caption="Bank" columnCount="9" showCaption="0" style="SlicerStyleLight5" rowHeight="220133"/>
  <slicer name="Platform 1" xr10:uid="{37A2C31B-F8DD-4E0F-9AF4-D8E43A054A8B}" cache="Slicer_Platform" caption="Platform" columnCount="4" showCaption="0" style="SlicerStyleLight5" rowHeight="220133"/>
  <slicer name="Date 2" xr10:uid="{20F5946E-ADE5-468C-8308-3EAF1BD9C954}" cache="Slicer_Date" caption="Date" columnCount="12" showCaption="0" style="SlicerStyleLight5"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8B1271C3-A451-4EFA-9BAA-73020E87616E}" cache="Slicer_Platform" caption="Platform" columnCount="4" showCaption="0" rowHeight="220133"/>
  <slicer name="Date" xr10:uid="{DB1DD1E8-E522-4B28-B1A1-ADE333F9CE8A}" cache="Slicer_Date" caption="Date" columnCount="12" showCaption="0" rowHeight="22013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k 1" xr10:uid="{23FB5BDB-C5A0-425E-8347-9548E35437CA}" cache="Slicer_Bank1" caption="Bank" showCaption="0" rowHeight="220133"/>
  <slicer name="Bank" xr10:uid="{DDF1DC37-030B-4BE7-83A3-4F6F1A8A482D}" cache="Slicer_Bank1" caption="Bank" columnCount="9" showCaption="0"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E5FB33-38C3-4DCA-95D9-02076B588226}" name="Table1" displayName="Table1" ref="A1:E1118" totalsRowShown="0" dataDxfId="26">
  <autoFilter ref="A1:E1118" xr:uid="{54E5FB33-38C3-4DCA-95D9-02076B588226}"/>
  <tableColumns count="5">
    <tableColumn id="1" xr3:uid="{89FA6E13-7CBC-4C2E-AE07-53EFC6075EAD}" name="Platform" dataDxfId="25"/>
    <tableColumn id="2" xr3:uid="{DB871B6E-9681-440B-8122-B6337EF3BE81}" name="Bank" dataDxfId="24"/>
    <tableColumn id="3" xr3:uid="{80EBBC0F-029E-4F05-8690-5B9A74C96BD1}" name="Account" dataDxfId="23"/>
    <tableColumn id="4" xr3:uid="{255B1430-1B29-459E-A632-C458800B04C9}" name="Date" dataDxfId="22"/>
    <tableColumn id="5" xr3:uid="{F80AF2CB-9C28-429F-B2C4-27EC267854C2}" name="Followers" dataDxfId="21"/>
  </tableColumns>
  <tableStyleInfo name="TableStyleLight4" showFirstColumn="0" showLastColumn="0" showRowStripes="1" showColumnStripes="0"/>
</table>
</file>

<file path=xl/theme/theme1.xml><?xml version="1.0" encoding="utf-8"?>
<a:theme xmlns:a="http://schemas.openxmlformats.org/drawingml/2006/main" name="comScore">
  <a:themeElements>
    <a:clrScheme name="Custom 5">
      <a:dk1>
        <a:srgbClr val="444444"/>
      </a:dk1>
      <a:lt1>
        <a:srgbClr val="FFFFFF"/>
      </a:lt1>
      <a:dk2>
        <a:srgbClr val="444444"/>
      </a:dk2>
      <a:lt2>
        <a:srgbClr val="939598"/>
      </a:lt2>
      <a:accent1>
        <a:srgbClr val="F77809"/>
      </a:accent1>
      <a:accent2>
        <a:srgbClr val="00A3DF"/>
      </a:accent2>
      <a:accent3>
        <a:srgbClr val="125EA9"/>
      </a:accent3>
      <a:accent4>
        <a:srgbClr val="751F83"/>
      </a:accent4>
      <a:accent5>
        <a:srgbClr val="8CC63E"/>
      </a:accent5>
      <a:accent6>
        <a:srgbClr val="E3E4E3"/>
      </a:accent6>
      <a:hlink>
        <a:srgbClr val="F7790B"/>
      </a:hlink>
      <a:folHlink>
        <a:srgbClr val="F7790B"/>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3"/>
        </a:solidFill>
        <a:ln w="25400">
          <a:noFill/>
          <a:headEnd type="none" w="med" len="med"/>
          <a:tailEnd type="none" w="med" len="med"/>
        </a:ln>
      </a:spPr>
      <a:bodyPr vert="horz" wrap="square" lIns="91440" tIns="45720" rIns="91440" bIns="45720" numCol="1" rtlCol="0" anchor="ctr" anchorCtr="0" compatLnSpc="1">
        <a:prstTxWarp prst="textNoShape">
          <a:avLst/>
        </a:prstTxWarp>
        <a:normAutofit/>
      </a:bodyPr>
      <a:lstStyle>
        <a:defPPr marL="0" marR="0" indent="0" algn="ctr" defTabSz="914400" rtl="0" eaLnBrk="1" fontAlgn="base" latinLnBrk="0" hangingPunct="1">
          <a:lnSpc>
            <a:spcPct val="100000"/>
          </a:lnSpc>
          <a:spcBef>
            <a:spcPct val="0"/>
          </a:spcBef>
          <a:spcAft>
            <a:spcPct val="0"/>
          </a:spcAft>
          <a:buClrTx/>
          <a:buSzTx/>
          <a:buFontTx/>
          <a:buNone/>
          <a:tabLst/>
          <a:defRPr kumimoji="0" sz="1200" i="0" u="none" strike="noStrike" cap="none" normalizeH="0" baseline="0" dirty="0" smtClean="0">
            <a:ln>
              <a:noFill/>
            </a:ln>
            <a:solidFill>
              <a:schemeClr val="bg1"/>
            </a:solidFill>
            <a:effectLst/>
            <a:latin typeface="Arial" pitchFamily="-123" charset="0"/>
            <a:ea typeface="ＭＳ Ｐゴシック" pitchFamily="-123" charset="-128"/>
            <a:cs typeface="ＭＳ Ｐゴシック" pitchFamily="-123" charset="-128"/>
          </a:defRPr>
        </a:defPPr>
      </a:lstStyle>
      <a:style>
        <a:lnRef idx="2">
          <a:schemeClr val="accent1"/>
        </a:lnRef>
        <a:fillRef idx="1">
          <a:schemeClr val="lt1"/>
        </a:fillRef>
        <a:effectRef idx="0">
          <a:schemeClr val="accent1"/>
        </a:effectRef>
        <a:fontRef idx="minor">
          <a:schemeClr val="dk1"/>
        </a:fontRef>
      </a:style>
    </a:spDef>
    <a:lnDef>
      <a:spPr>
        <a:ln w="25400">
          <a:solidFill>
            <a:schemeClr val="accent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rtlCol="0">
        <a:spAutoFit/>
      </a:bodyPr>
      <a:lstStyle>
        <a:defPPr defTabSz="914400">
          <a:lnSpc>
            <a:spcPct val="120000"/>
          </a:lnSpc>
          <a:spcBef>
            <a:spcPts val="729"/>
          </a:spcBef>
          <a:defRPr b="1" kern="0" dirty="0" err="1" smtClean="0">
            <a:solidFill>
              <a:srgbClr val="444444"/>
            </a:solidFill>
          </a:defRPr>
        </a:defPPr>
      </a:lstStyle>
    </a:txDef>
  </a:objectDefaults>
  <a:extraClrSchemeLst/>
  <a:extLst>
    <a:ext uri="{05A4C25C-085E-4340-85A3-A5531E510DB2}">
      <thm15:themeFamily xmlns:thm15="http://schemas.microsoft.com/office/thememl/2012/main" name="comScore" id="{5850231F-46C1-412F-B61A-2F6E3C7B3ACB}" vid="{9DEA7E4D-D80C-4ECF-AD92-70E8C9256B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CB50383-A4F3-49E1-9B97-9DACE9B53807}" sourceName="Date">
  <pivotTables>
    <pivotTable tabId="16" name="PivotTable2"/>
    <pivotTable tabId="17" name="PivotTable1"/>
    <pivotTable tabId="17" name="PivotTable17"/>
    <pivotTable tabId="16" name="PivotTable3"/>
    <pivotTable tabId="16" name="PivotTable4"/>
    <pivotTable tabId="18" name="PivotTable1"/>
    <pivotTable tabId="18" name="PivotTable11"/>
    <pivotTable tabId="18" name="PivotTable12"/>
    <pivotTable tabId="18" name="PivotTable13"/>
    <pivotTable tabId="18" name="PivotTable14"/>
    <pivotTable tabId="17" name="PivotTable3"/>
  </pivotTables>
  <state minimalRefreshVersion="6" lastRefreshVersion="6" pivotCacheId="1166759005"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1FC98C0-004F-4321-8C5F-21C171C0D3EE}" cache="NativeTimeline_Date" caption="Date" level="2" selectionLevel="1" scrollPosition="2022-01-01T00:00:00" style="TimeSlicerStyleLight5"/>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twitter.com/BofA_Help/followers" TargetMode="External"/><Relationship Id="rId21" Type="http://schemas.openxmlformats.org/officeDocument/2006/relationships/hyperlink" Target="https://www.instagram.com/usbank/followers/" TargetMode="External"/><Relationship Id="rId42" Type="http://schemas.openxmlformats.org/officeDocument/2006/relationships/hyperlink" Target="https://twitter.com/capitalonenews/followers" TargetMode="External"/><Relationship Id="rId63" Type="http://schemas.openxmlformats.org/officeDocument/2006/relationships/hyperlink" Target="https://twitter.com/BofA_Business/followers" TargetMode="External"/><Relationship Id="rId84" Type="http://schemas.openxmlformats.org/officeDocument/2006/relationships/hyperlink" Target="https://www.instagram.com/usbank/followers/" TargetMode="External"/><Relationship Id="rId138" Type="http://schemas.openxmlformats.org/officeDocument/2006/relationships/hyperlink" Target="https://twitter.com/PNCNews/followers" TargetMode="External"/><Relationship Id="rId159" Type="http://schemas.openxmlformats.org/officeDocument/2006/relationships/hyperlink" Target="https://twitter.com/PNCNews/followers" TargetMode="External"/><Relationship Id="rId170" Type="http://schemas.openxmlformats.org/officeDocument/2006/relationships/hyperlink" Target="https://twitter.com/AskCapitalOne/followers" TargetMode="External"/><Relationship Id="rId191" Type="http://schemas.openxmlformats.org/officeDocument/2006/relationships/hyperlink" Target="https://www.instagram.com/citibank/followers/" TargetMode="External"/><Relationship Id="rId205" Type="http://schemas.openxmlformats.org/officeDocument/2006/relationships/hyperlink" Target="https://twitter.com/PNCBank/followers" TargetMode="External"/><Relationship Id="rId226" Type="http://schemas.openxmlformats.org/officeDocument/2006/relationships/hyperlink" Target="https://twitter.com/CapitalOneCafe/followers" TargetMode="External"/><Relationship Id="rId107" Type="http://schemas.openxmlformats.org/officeDocument/2006/relationships/hyperlink" Target="https://twitter.com/AskUSBank/followers" TargetMode="External"/><Relationship Id="rId11" Type="http://schemas.openxmlformats.org/officeDocument/2006/relationships/hyperlink" Target="https://twitter.com/Ask_WellsFargo/followers" TargetMode="External"/><Relationship Id="rId32" Type="http://schemas.openxmlformats.org/officeDocument/2006/relationships/hyperlink" Target="https://twitter.com/ChaseSupport/followers" TargetMode="External"/><Relationship Id="rId53" Type="http://schemas.openxmlformats.org/officeDocument/2006/relationships/hyperlink" Target="https://www.instagram.com/capitalone/followers/" TargetMode="External"/><Relationship Id="rId74" Type="http://schemas.openxmlformats.org/officeDocument/2006/relationships/hyperlink" Target="https://twitter.com/PNCBank_Help/followers" TargetMode="External"/><Relationship Id="rId128" Type="http://schemas.openxmlformats.org/officeDocument/2006/relationships/hyperlink" Target="https://twitter.com/capitalonenews/followers" TargetMode="External"/><Relationship Id="rId149" Type="http://schemas.openxmlformats.org/officeDocument/2006/relationships/hyperlink" Target="https://www.instagram.com/wellsfargo/followers/" TargetMode="External"/><Relationship Id="rId5" Type="http://schemas.openxmlformats.org/officeDocument/2006/relationships/hyperlink" Target="https://twitter.com/CapitalOneTech/followers" TargetMode="External"/><Relationship Id="rId95" Type="http://schemas.openxmlformats.org/officeDocument/2006/relationships/hyperlink" Target="https://twitter.com/CapitalOneTech/followers" TargetMode="External"/><Relationship Id="rId160" Type="http://schemas.openxmlformats.org/officeDocument/2006/relationships/hyperlink" Target="https://twitter.com/PNCBank/followers" TargetMode="External"/><Relationship Id="rId181" Type="http://schemas.openxmlformats.org/officeDocument/2006/relationships/hyperlink" Target="https://www.instagram.com/citi/followers/" TargetMode="External"/><Relationship Id="rId216" Type="http://schemas.openxmlformats.org/officeDocument/2006/relationships/hyperlink" Target="https://twitter.com/BofA_Business/followers" TargetMode="External"/><Relationship Id="rId22" Type="http://schemas.openxmlformats.org/officeDocument/2006/relationships/hyperlink" Target="https://twitter.com/BankofAmerica/followers" TargetMode="External"/><Relationship Id="rId43" Type="http://schemas.openxmlformats.org/officeDocument/2006/relationships/hyperlink" Target="https://twitter.com/WFInvesting/followers" TargetMode="External"/><Relationship Id="rId64" Type="http://schemas.openxmlformats.org/officeDocument/2006/relationships/hyperlink" Target="https://twitter.com/BofA_Tips/followers" TargetMode="External"/><Relationship Id="rId118" Type="http://schemas.openxmlformats.org/officeDocument/2006/relationships/hyperlink" Target="https://twitter.com/BankofAmerica/followers" TargetMode="External"/><Relationship Id="rId139" Type="http://schemas.openxmlformats.org/officeDocument/2006/relationships/hyperlink" Target="https://twitter.com/TruistNews/followers" TargetMode="External"/><Relationship Id="rId85" Type="http://schemas.openxmlformats.org/officeDocument/2006/relationships/hyperlink" Target="https://twitter.com/BankofAmerica/followers" TargetMode="External"/><Relationship Id="rId150" Type="http://schemas.openxmlformats.org/officeDocument/2006/relationships/hyperlink" Target="https://www.instagram.com/chase/followers/" TargetMode="External"/><Relationship Id="rId171" Type="http://schemas.openxmlformats.org/officeDocument/2006/relationships/hyperlink" Target="https://twitter.com/CapitalOne/followers" TargetMode="External"/><Relationship Id="rId192" Type="http://schemas.openxmlformats.org/officeDocument/2006/relationships/hyperlink" Target="https://twitter.com/capitalonejobs/followers" TargetMode="External"/><Relationship Id="rId206" Type="http://schemas.openxmlformats.org/officeDocument/2006/relationships/hyperlink" Target="https://twitter.com/Ask_WellsFargo/followers" TargetMode="External"/><Relationship Id="rId227" Type="http://schemas.openxmlformats.org/officeDocument/2006/relationships/hyperlink" Target="https://twitter.com/AskCapitalOne/followers" TargetMode="External"/><Relationship Id="rId12" Type="http://schemas.openxmlformats.org/officeDocument/2006/relationships/hyperlink" Target="https://twitter.com/usbank/followers" TargetMode="External"/><Relationship Id="rId33" Type="http://schemas.openxmlformats.org/officeDocument/2006/relationships/hyperlink" Target="https://twitter.com/Citi/followers" TargetMode="External"/><Relationship Id="rId108" Type="http://schemas.openxmlformats.org/officeDocument/2006/relationships/hyperlink" Target="https://www.instagram.com/capitalonecareers/followers/" TargetMode="External"/><Relationship Id="rId129" Type="http://schemas.openxmlformats.org/officeDocument/2006/relationships/hyperlink" Target="https://twitter.com/CapitalOneBiz/followers" TargetMode="External"/><Relationship Id="rId54" Type="http://schemas.openxmlformats.org/officeDocument/2006/relationships/hyperlink" Target="https://www.instagram.com/citibank/followers/" TargetMode="External"/><Relationship Id="rId75" Type="http://schemas.openxmlformats.org/officeDocument/2006/relationships/hyperlink" Target="https://www.instagram.com/capitalonecareers/followers/" TargetMode="External"/><Relationship Id="rId96" Type="http://schemas.openxmlformats.org/officeDocument/2006/relationships/hyperlink" Target="https://twitter.com/capitalonenews/followers" TargetMode="External"/><Relationship Id="rId140" Type="http://schemas.openxmlformats.org/officeDocument/2006/relationships/hyperlink" Target="https://twitter.com/usbank/followers" TargetMode="External"/><Relationship Id="rId161" Type="http://schemas.openxmlformats.org/officeDocument/2006/relationships/hyperlink" Target="https://twitter.com/Ask_WellsFargo/followers" TargetMode="External"/><Relationship Id="rId182" Type="http://schemas.openxmlformats.org/officeDocument/2006/relationships/hyperlink" Target="https://www.instagram.com/citi/followers/" TargetMode="External"/><Relationship Id="rId217" Type="http://schemas.openxmlformats.org/officeDocument/2006/relationships/hyperlink" Target="https://twitter.com/BofA_Help/followers" TargetMode="External"/><Relationship Id="rId6" Type="http://schemas.openxmlformats.org/officeDocument/2006/relationships/hyperlink" Target="https://twitter.com/PNCNews/followers" TargetMode="External"/><Relationship Id="rId23" Type="http://schemas.openxmlformats.org/officeDocument/2006/relationships/hyperlink" Target="https://twitter.com/BofA_News/followers" TargetMode="External"/><Relationship Id="rId119" Type="http://schemas.openxmlformats.org/officeDocument/2006/relationships/hyperlink" Target="https://twitter.com/BofA_News/followers" TargetMode="External"/><Relationship Id="rId44" Type="http://schemas.openxmlformats.org/officeDocument/2006/relationships/hyperlink" Target="https://twitter.com/CapitalOneTech/followers" TargetMode="External"/><Relationship Id="rId65" Type="http://schemas.openxmlformats.org/officeDocument/2006/relationships/hyperlink" Target="https://twitter.com/BofAPrivateBank/followers" TargetMode="External"/><Relationship Id="rId86" Type="http://schemas.openxmlformats.org/officeDocument/2006/relationships/hyperlink" Target="https://twitter.com/BofA_News/followers" TargetMode="External"/><Relationship Id="rId130" Type="http://schemas.openxmlformats.org/officeDocument/2006/relationships/hyperlink" Target="https://twitter.com/Chase/followers" TargetMode="External"/><Relationship Id="rId151" Type="http://schemas.openxmlformats.org/officeDocument/2006/relationships/hyperlink" Target="https://www.instagram.com/capitalonebusiness/followers/" TargetMode="External"/><Relationship Id="rId172" Type="http://schemas.openxmlformats.org/officeDocument/2006/relationships/hyperlink" Target="https://twitter.com/BofA_Tips/followers" TargetMode="External"/><Relationship Id="rId193" Type="http://schemas.openxmlformats.org/officeDocument/2006/relationships/hyperlink" Target="https://twitter.com/CapitalOneTech/followers" TargetMode="External"/><Relationship Id="rId207" Type="http://schemas.openxmlformats.org/officeDocument/2006/relationships/hyperlink" Target="https://twitter.com/WellsFargo/followers" TargetMode="External"/><Relationship Id="rId228" Type="http://schemas.openxmlformats.org/officeDocument/2006/relationships/hyperlink" Target="https://twitter.com/BofAPrivateBank/followers" TargetMode="External"/><Relationship Id="rId13" Type="http://schemas.openxmlformats.org/officeDocument/2006/relationships/hyperlink" Target="https://twitter.com/AskUSBank/followers" TargetMode="External"/><Relationship Id="rId109" Type="http://schemas.openxmlformats.org/officeDocument/2006/relationships/hyperlink" Target="https://www.instagram.com/capitalonecafe/followers/" TargetMode="External"/><Relationship Id="rId34" Type="http://schemas.openxmlformats.org/officeDocument/2006/relationships/hyperlink" Target="https://twitter.com/WellsFargo/followers" TargetMode="External"/><Relationship Id="rId55" Type="http://schemas.openxmlformats.org/officeDocument/2006/relationships/hyperlink" Target="https://www.instagram.com/citi/followers/" TargetMode="External"/><Relationship Id="rId76" Type="http://schemas.openxmlformats.org/officeDocument/2006/relationships/hyperlink" Target="https://www.instagram.com/capitalonecafe/followers/" TargetMode="External"/><Relationship Id="rId97" Type="http://schemas.openxmlformats.org/officeDocument/2006/relationships/hyperlink" Target="https://twitter.com/Chase/followers" TargetMode="External"/><Relationship Id="rId120" Type="http://schemas.openxmlformats.org/officeDocument/2006/relationships/hyperlink" Target="https://twitter.com/BofA_Business/followers" TargetMode="External"/><Relationship Id="rId141" Type="http://schemas.openxmlformats.org/officeDocument/2006/relationships/hyperlink" Target="https://twitter.com/AskUSBank/followers" TargetMode="External"/><Relationship Id="rId7" Type="http://schemas.openxmlformats.org/officeDocument/2006/relationships/hyperlink" Target="https://twitter.com/AskSunTrust/followers" TargetMode="External"/><Relationship Id="rId162" Type="http://schemas.openxmlformats.org/officeDocument/2006/relationships/hyperlink" Target="https://twitter.com/WellsFargo/followers" TargetMode="External"/><Relationship Id="rId183" Type="http://schemas.openxmlformats.org/officeDocument/2006/relationships/hyperlink" Target="https://www.instagram.com/citibank/followers/" TargetMode="External"/><Relationship Id="rId218" Type="http://schemas.openxmlformats.org/officeDocument/2006/relationships/hyperlink" Target="https://twitter.com/BofA_News/followers" TargetMode="External"/><Relationship Id="rId24" Type="http://schemas.openxmlformats.org/officeDocument/2006/relationships/hyperlink" Target="https://twitter.com/BofA_Help/followers" TargetMode="External"/><Relationship Id="rId45" Type="http://schemas.openxmlformats.org/officeDocument/2006/relationships/hyperlink" Target="https://twitter.com/PNCNews/followers" TargetMode="External"/><Relationship Id="rId66" Type="http://schemas.openxmlformats.org/officeDocument/2006/relationships/hyperlink" Target="https://twitter.com/CapitalOne/followers" TargetMode="External"/><Relationship Id="rId87" Type="http://schemas.openxmlformats.org/officeDocument/2006/relationships/hyperlink" Target="https://twitter.com/BofA_Help/followers" TargetMode="External"/><Relationship Id="rId110" Type="http://schemas.openxmlformats.org/officeDocument/2006/relationships/hyperlink" Target="https://www.instagram.com/capitalonebusiness/followers/" TargetMode="External"/><Relationship Id="rId131" Type="http://schemas.openxmlformats.org/officeDocument/2006/relationships/hyperlink" Target="https://twitter.com/ChaseforBiz/followers" TargetMode="External"/><Relationship Id="rId152" Type="http://schemas.openxmlformats.org/officeDocument/2006/relationships/hyperlink" Target="https://www.instagram.com/capitalonecafe/followers/" TargetMode="External"/><Relationship Id="rId173" Type="http://schemas.openxmlformats.org/officeDocument/2006/relationships/hyperlink" Target="https://twitter.com/BofA_Business/followers" TargetMode="External"/><Relationship Id="rId194" Type="http://schemas.openxmlformats.org/officeDocument/2006/relationships/hyperlink" Target="https://www.instagram.com/suntrust/followers/" TargetMode="External"/><Relationship Id="rId208" Type="http://schemas.openxmlformats.org/officeDocument/2006/relationships/hyperlink" Target="https://twitter.com/Citibank/followers" TargetMode="External"/><Relationship Id="rId229" Type="http://schemas.openxmlformats.org/officeDocument/2006/relationships/hyperlink" Target="https://twitter.com/WFInvesting/followers" TargetMode="External"/><Relationship Id="rId14" Type="http://schemas.openxmlformats.org/officeDocument/2006/relationships/hyperlink" Target="https://www.instagram.com/bankofamerica/followers/" TargetMode="External"/><Relationship Id="rId35" Type="http://schemas.openxmlformats.org/officeDocument/2006/relationships/hyperlink" Target="https://twitter.com/PNCBank/followers" TargetMode="External"/><Relationship Id="rId56" Type="http://schemas.openxmlformats.org/officeDocument/2006/relationships/hyperlink" Target="https://www.instagram.com/wellsfargo/followers/" TargetMode="External"/><Relationship Id="rId77" Type="http://schemas.openxmlformats.org/officeDocument/2006/relationships/hyperlink" Target="https://www.instagram.com/capitalonebusiness/followers/" TargetMode="External"/><Relationship Id="rId100" Type="http://schemas.openxmlformats.org/officeDocument/2006/relationships/hyperlink" Target="https://twitter.com/WellsFargo/followers" TargetMode="External"/><Relationship Id="rId8" Type="http://schemas.openxmlformats.org/officeDocument/2006/relationships/hyperlink" Target="https://twitter.com/ChaseforBiz/followers" TargetMode="External"/><Relationship Id="rId98" Type="http://schemas.openxmlformats.org/officeDocument/2006/relationships/hyperlink" Target="https://twitter.com/ChaseforBiz/followers" TargetMode="External"/><Relationship Id="rId121" Type="http://schemas.openxmlformats.org/officeDocument/2006/relationships/hyperlink" Target="https://twitter.com/BofA_Tips/followers" TargetMode="External"/><Relationship Id="rId142" Type="http://schemas.openxmlformats.org/officeDocument/2006/relationships/hyperlink" Target="https://www.instagram.com/bankofamerica/followers/" TargetMode="External"/><Relationship Id="rId163" Type="http://schemas.openxmlformats.org/officeDocument/2006/relationships/hyperlink" Target="https://twitter.com/ChaseforBiz/followers" TargetMode="External"/><Relationship Id="rId184" Type="http://schemas.openxmlformats.org/officeDocument/2006/relationships/hyperlink" Target="https://twitter.com/Citibank/followers" TargetMode="External"/><Relationship Id="rId219" Type="http://schemas.openxmlformats.org/officeDocument/2006/relationships/hyperlink" Target="https://twitter.com/BankofAmerica/followers" TargetMode="External"/><Relationship Id="rId230" Type="http://schemas.openxmlformats.org/officeDocument/2006/relationships/hyperlink" Target="https://twitter.com/CapitalOneBiz/followers" TargetMode="External"/><Relationship Id="rId25" Type="http://schemas.openxmlformats.org/officeDocument/2006/relationships/hyperlink" Target="https://twitter.com/BofA_Business/followers" TargetMode="External"/><Relationship Id="rId46" Type="http://schemas.openxmlformats.org/officeDocument/2006/relationships/hyperlink" Target="https://twitter.com/ChaseforBiz/followers" TargetMode="External"/><Relationship Id="rId67" Type="http://schemas.openxmlformats.org/officeDocument/2006/relationships/hyperlink" Target="https://twitter.com/CapitalOneCafe/followers" TargetMode="External"/><Relationship Id="rId20" Type="http://schemas.openxmlformats.org/officeDocument/2006/relationships/hyperlink" Target="https://www.instagram.com/suntrust/followers/" TargetMode="External"/><Relationship Id="rId41" Type="http://schemas.openxmlformats.org/officeDocument/2006/relationships/hyperlink" Target="https://twitter.com/capitalonejobs/followers" TargetMode="External"/><Relationship Id="rId62" Type="http://schemas.openxmlformats.org/officeDocument/2006/relationships/hyperlink" Target="https://twitter.com/BofA_Help/followers" TargetMode="External"/><Relationship Id="rId83" Type="http://schemas.openxmlformats.org/officeDocument/2006/relationships/hyperlink" Target="https://www.instagram.com/suntrust/followers/" TargetMode="External"/><Relationship Id="rId88" Type="http://schemas.openxmlformats.org/officeDocument/2006/relationships/hyperlink" Target="https://twitter.com/BofA_Business/followers" TargetMode="External"/><Relationship Id="rId111" Type="http://schemas.openxmlformats.org/officeDocument/2006/relationships/hyperlink" Target="https://www.instagram.com/chase/followers/" TargetMode="External"/><Relationship Id="rId132" Type="http://schemas.openxmlformats.org/officeDocument/2006/relationships/hyperlink" Target="https://twitter.com/ChaseSupport/followers" TargetMode="External"/><Relationship Id="rId153" Type="http://schemas.openxmlformats.org/officeDocument/2006/relationships/hyperlink" Target="https://www.instagram.com/capitalonecareers/followers/" TargetMode="External"/><Relationship Id="rId174" Type="http://schemas.openxmlformats.org/officeDocument/2006/relationships/hyperlink" Target="https://twitter.com/BofA_Help/followers" TargetMode="External"/><Relationship Id="rId179" Type="http://schemas.openxmlformats.org/officeDocument/2006/relationships/hyperlink" Target="https://twitter.com/Citibank/followers" TargetMode="External"/><Relationship Id="rId195" Type="http://schemas.openxmlformats.org/officeDocument/2006/relationships/hyperlink" Target="https://www.instagram.com/pncbank/followers/" TargetMode="External"/><Relationship Id="rId209" Type="http://schemas.openxmlformats.org/officeDocument/2006/relationships/hyperlink" Target="https://twitter.com/AskCiti/followers" TargetMode="External"/><Relationship Id="rId190" Type="http://schemas.openxmlformats.org/officeDocument/2006/relationships/hyperlink" Target="https://www.instagram.com/citi/followers/" TargetMode="External"/><Relationship Id="rId204" Type="http://schemas.openxmlformats.org/officeDocument/2006/relationships/hyperlink" Target="https://twitter.com/PNCBank_Help/followers" TargetMode="External"/><Relationship Id="rId220" Type="http://schemas.openxmlformats.org/officeDocument/2006/relationships/hyperlink" Target="https://www.instagram.com/chase/followers/" TargetMode="External"/><Relationship Id="rId225" Type="http://schemas.openxmlformats.org/officeDocument/2006/relationships/hyperlink" Target="https://twitter.com/CapitalOneTech/followers" TargetMode="External"/><Relationship Id="rId15" Type="http://schemas.openxmlformats.org/officeDocument/2006/relationships/hyperlink" Target="https://www.instagram.com/capitalone/followers/" TargetMode="External"/><Relationship Id="rId36" Type="http://schemas.openxmlformats.org/officeDocument/2006/relationships/hyperlink" Target="https://twitter.com/PNCBank_Help/followers" TargetMode="External"/><Relationship Id="rId57" Type="http://schemas.openxmlformats.org/officeDocument/2006/relationships/hyperlink" Target="https://www.instagram.com/pncbank/followers/" TargetMode="External"/><Relationship Id="rId106" Type="http://schemas.openxmlformats.org/officeDocument/2006/relationships/hyperlink" Target="https://twitter.com/TruistNews/followers" TargetMode="External"/><Relationship Id="rId127" Type="http://schemas.openxmlformats.org/officeDocument/2006/relationships/hyperlink" Target="https://twitter.com/CapitalOneTech/followers" TargetMode="External"/><Relationship Id="rId10" Type="http://schemas.openxmlformats.org/officeDocument/2006/relationships/hyperlink" Target="https://twitter.com/Citibank/followers" TargetMode="External"/><Relationship Id="rId31" Type="http://schemas.openxmlformats.org/officeDocument/2006/relationships/hyperlink" Target="https://twitter.com/Chase/followers" TargetMode="External"/><Relationship Id="rId52" Type="http://schemas.openxmlformats.org/officeDocument/2006/relationships/hyperlink" Target="https://www.instagram.com/bankofamerica/followers/" TargetMode="External"/><Relationship Id="rId73" Type="http://schemas.openxmlformats.org/officeDocument/2006/relationships/hyperlink" Target="https://twitter.com/PNCBank/followers" TargetMode="External"/><Relationship Id="rId78" Type="http://schemas.openxmlformats.org/officeDocument/2006/relationships/hyperlink" Target="https://www.instagram.com/citibank/followers/" TargetMode="External"/><Relationship Id="rId94" Type="http://schemas.openxmlformats.org/officeDocument/2006/relationships/hyperlink" Target="https://twitter.com/capitalonejobs/followers" TargetMode="External"/><Relationship Id="rId99" Type="http://schemas.openxmlformats.org/officeDocument/2006/relationships/hyperlink" Target="https://twitter.com/ChaseSupport/followers" TargetMode="External"/><Relationship Id="rId101" Type="http://schemas.openxmlformats.org/officeDocument/2006/relationships/hyperlink" Target="https://twitter.com/Ask_WellsFargo/followers" TargetMode="External"/><Relationship Id="rId122" Type="http://schemas.openxmlformats.org/officeDocument/2006/relationships/hyperlink" Target="https://twitter.com/BofAPrivateBank/followers" TargetMode="External"/><Relationship Id="rId143" Type="http://schemas.openxmlformats.org/officeDocument/2006/relationships/hyperlink" Target="https://www.instagram.com/capitalonecareers/followers/" TargetMode="External"/><Relationship Id="rId148" Type="http://schemas.openxmlformats.org/officeDocument/2006/relationships/hyperlink" Target="https://www.instagram.com/pncbank/followers/" TargetMode="External"/><Relationship Id="rId164" Type="http://schemas.openxmlformats.org/officeDocument/2006/relationships/hyperlink" Target="https://twitter.com/Chase/followers" TargetMode="External"/><Relationship Id="rId169" Type="http://schemas.openxmlformats.org/officeDocument/2006/relationships/hyperlink" Target="https://twitter.com/CapitalOneCafe/followers" TargetMode="External"/><Relationship Id="rId185" Type="http://schemas.openxmlformats.org/officeDocument/2006/relationships/hyperlink" Target="https://twitter.com/AskCiti/followers" TargetMode="External"/><Relationship Id="rId4" Type="http://schemas.openxmlformats.org/officeDocument/2006/relationships/hyperlink" Target="https://twitter.com/WFInvesting/followers" TargetMode="External"/><Relationship Id="rId9" Type="http://schemas.openxmlformats.org/officeDocument/2006/relationships/hyperlink" Target="https://twitter.com/AskCiti/followers" TargetMode="External"/><Relationship Id="rId180" Type="http://schemas.openxmlformats.org/officeDocument/2006/relationships/hyperlink" Target="https://www.instagram.com/citibank/followers/" TargetMode="External"/><Relationship Id="rId210" Type="http://schemas.openxmlformats.org/officeDocument/2006/relationships/hyperlink" Target="https://twitter.com/Citi/followers" TargetMode="External"/><Relationship Id="rId215" Type="http://schemas.openxmlformats.org/officeDocument/2006/relationships/hyperlink" Target="https://twitter.com/BofA_Tips/followers" TargetMode="External"/><Relationship Id="rId26" Type="http://schemas.openxmlformats.org/officeDocument/2006/relationships/hyperlink" Target="https://twitter.com/BofA_Tips/followers" TargetMode="External"/><Relationship Id="rId231" Type="http://schemas.openxmlformats.org/officeDocument/2006/relationships/hyperlink" Target="https://twitter.com/capitalonenews/followers" TargetMode="External"/><Relationship Id="rId47" Type="http://schemas.openxmlformats.org/officeDocument/2006/relationships/hyperlink" Target="https://twitter.com/AskCiti/followers" TargetMode="External"/><Relationship Id="rId68" Type="http://schemas.openxmlformats.org/officeDocument/2006/relationships/hyperlink" Target="https://twitter.com/CapitalOneBiz/followers" TargetMode="External"/><Relationship Id="rId89" Type="http://schemas.openxmlformats.org/officeDocument/2006/relationships/hyperlink" Target="https://twitter.com/BofA_Tips/followers" TargetMode="External"/><Relationship Id="rId112" Type="http://schemas.openxmlformats.org/officeDocument/2006/relationships/hyperlink" Target="https://www.instagram.com/capitalone/followers/" TargetMode="External"/><Relationship Id="rId133" Type="http://schemas.openxmlformats.org/officeDocument/2006/relationships/hyperlink" Target="https://twitter.com/WellsFargo/followers" TargetMode="External"/><Relationship Id="rId154" Type="http://schemas.openxmlformats.org/officeDocument/2006/relationships/hyperlink" Target="https://www.instagram.com/capitalone/followers/" TargetMode="External"/><Relationship Id="rId175" Type="http://schemas.openxmlformats.org/officeDocument/2006/relationships/hyperlink" Target="https://twitter.com/BofA_News/followers" TargetMode="External"/><Relationship Id="rId196" Type="http://schemas.openxmlformats.org/officeDocument/2006/relationships/hyperlink" Target="https://www.instagram.com/wellsfargo/followers/" TargetMode="External"/><Relationship Id="rId200" Type="http://schemas.openxmlformats.org/officeDocument/2006/relationships/hyperlink" Target="https://www.instagram.com/capitalone/followers/" TargetMode="External"/><Relationship Id="rId16" Type="http://schemas.openxmlformats.org/officeDocument/2006/relationships/hyperlink" Target="https://www.instagram.com/citibank/followers/" TargetMode="External"/><Relationship Id="rId221" Type="http://schemas.openxmlformats.org/officeDocument/2006/relationships/hyperlink" Target="https://www.instagram.com/capitalonebusiness/followers/" TargetMode="External"/><Relationship Id="rId37" Type="http://schemas.openxmlformats.org/officeDocument/2006/relationships/hyperlink" Target="https://www.instagram.com/capitalonecareers/followers/" TargetMode="External"/><Relationship Id="rId58" Type="http://schemas.openxmlformats.org/officeDocument/2006/relationships/hyperlink" Target="https://www.instagram.com/suntrust/followers/" TargetMode="External"/><Relationship Id="rId79" Type="http://schemas.openxmlformats.org/officeDocument/2006/relationships/hyperlink" Target="https://www.instagram.com/bankofamerica/followers/" TargetMode="External"/><Relationship Id="rId102" Type="http://schemas.openxmlformats.org/officeDocument/2006/relationships/hyperlink" Target="https://twitter.com/WFInvesting/followers" TargetMode="External"/><Relationship Id="rId123" Type="http://schemas.openxmlformats.org/officeDocument/2006/relationships/hyperlink" Target="https://twitter.com/CapitalOne/followers" TargetMode="External"/><Relationship Id="rId144" Type="http://schemas.openxmlformats.org/officeDocument/2006/relationships/hyperlink" Target="https://www.instagram.com/capitalonecafe/followers/" TargetMode="External"/><Relationship Id="rId90" Type="http://schemas.openxmlformats.org/officeDocument/2006/relationships/hyperlink" Target="https://twitter.com/BofAPrivateBank/followers" TargetMode="External"/><Relationship Id="rId165" Type="http://schemas.openxmlformats.org/officeDocument/2006/relationships/hyperlink" Target="https://twitter.com/CapitalOneBiz/followers" TargetMode="External"/><Relationship Id="rId186" Type="http://schemas.openxmlformats.org/officeDocument/2006/relationships/hyperlink" Target="https://twitter.com/Citi/followers" TargetMode="External"/><Relationship Id="rId211" Type="http://schemas.openxmlformats.org/officeDocument/2006/relationships/hyperlink" Target="https://twitter.com/ChaseSupport/followers" TargetMode="External"/><Relationship Id="rId232" Type="http://schemas.openxmlformats.org/officeDocument/2006/relationships/hyperlink" Target="https://twitter.com/capitalonejobs/followers" TargetMode="External"/><Relationship Id="rId27" Type="http://schemas.openxmlformats.org/officeDocument/2006/relationships/hyperlink" Target="https://twitter.com/BofAPrivateBank/followers" TargetMode="External"/><Relationship Id="rId48" Type="http://schemas.openxmlformats.org/officeDocument/2006/relationships/hyperlink" Target="https://twitter.com/Citibank/followers" TargetMode="External"/><Relationship Id="rId69" Type="http://schemas.openxmlformats.org/officeDocument/2006/relationships/hyperlink" Target="https://twitter.com/Chase/followers" TargetMode="External"/><Relationship Id="rId113" Type="http://schemas.openxmlformats.org/officeDocument/2006/relationships/hyperlink" Target="https://www.instagram.com/wellsfargo/followers/" TargetMode="External"/><Relationship Id="rId134" Type="http://schemas.openxmlformats.org/officeDocument/2006/relationships/hyperlink" Target="https://twitter.com/Ask_WellsFargo/followers" TargetMode="External"/><Relationship Id="rId80" Type="http://schemas.openxmlformats.org/officeDocument/2006/relationships/hyperlink" Target="https://www.instagram.com/capitalone/followers/" TargetMode="External"/><Relationship Id="rId155" Type="http://schemas.openxmlformats.org/officeDocument/2006/relationships/hyperlink" Target="https://www.instagram.com/bankofamerica/followers/" TargetMode="External"/><Relationship Id="rId176" Type="http://schemas.openxmlformats.org/officeDocument/2006/relationships/hyperlink" Target="https://twitter.com/BankofAmerica/followers" TargetMode="External"/><Relationship Id="rId197" Type="http://schemas.openxmlformats.org/officeDocument/2006/relationships/hyperlink" Target="https://www.instagram.com/citi/followers/" TargetMode="External"/><Relationship Id="rId201" Type="http://schemas.openxmlformats.org/officeDocument/2006/relationships/hyperlink" Target="https://www.instagram.com/bankofamerica/followers/" TargetMode="External"/><Relationship Id="rId222" Type="http://schemas.openxmlformats.org/officeDocument/2006/relationships/hyperlink" Target="https://www.instagram.com/capitalonecafe/followers/" TargetMode="External"/><Relationship Id="rId17" Type="http://schemas.openxmlformats.org/officeDocument/2006/relationships/hyperlink" Target="https://www.instagram.com/citi/followers/" TargetMode="External"/><Relationship Id="rId38" Type="http://schemas.openxmlformats.org/officeDocument/2006/relationships/hyperlink" Target="https://www.instagram.com/capitalonecafe/followers/" TargetMode="External"/><Relationship Id="rId59" Type="http://schemas.openxmlformats.org/officeDocument/2006/relationships/hyperlink" Target="https://www.instagram.com/usbank/followers/" TargetMode="External"/><Relationship Id="rId103" Type="http://schemas.openxmlformats.org/officeDocument/2006/relationships/hyperlink" Target="https://twitter.com/PNCBank/followers" TargetMode="External"/><Relationship Id="rId124" Type="http://schemas.openxmlformats.org/officeDocument/2006/relationships/hyperlink" Target="https://twitter.com/AskCapitalOne/followers" TargetMode="External"/><Relationship Id="rId70" Type="http://schemas.openxmlformats.org/officeDocument/2006/relationships/hyperlink" Target="https://twitter.com/ChaseSupport/followers" TargetMode="External"/><Relationship Id="rId91" Type="http://schemas.openxmlformats.org/officeDocument/2006/relationships/hyperlink" Target="https://twitter.com/CapitalOne/followers" TargetMode="External"/><Relationship Id="rId145" Type="http://schemas.openxmlformats.org/officeDocument/2006/relationships/hyperlink" Target="https://www.instagram.com/capitalonebusiness/followers/" TargetMode="External"/><Relationship Id="rId166" Type="http://schemas.openxmlformats.org/officeDocument/2006/relationships/hyperlink" Target="https://twitter.com/capitalonenews/followers" TargetMode="External"/><Relationship Id="rId187" Type="http://schemas.openxmlformats.org/officeDocument/2006/relationships/hyperlink" Target="https://twitter.com/Citibank/followers" TargetMode="External"/><Relationship Id="rId1" Type="http://schemas.openxmlformats.org/officeDocument/2006/relationships/hyperlink" Target="https://www.instagram.com/usbank/followers/" TargetMode="External"/><Relationship Id="rId212" Type="http://schemas.openxmlformats.org/officeDocument/2006/relationships/hyperlink" Target="https://twitter.com/ChaseforBiz/followers" TargetMode="External"/><Relationship Id="rId233" Type="http://schemas.openxmlformats.org/officeDocument/2006/relationships/printerSettings" Target="../printerSettings/printerSettings2.bin"/><Relationship Id="rId28" Type="http://schemas.openxmlformats.org/officeDocument/2006/relationships/hyperlink" Target="https://twitter.com/CapitalOne/followers" TargetMode="External"/><Relationship Id="rId49" Type="http://schemas.openxmlformats.org/officeDocument/2006/relationships/hyperlink" Target="https://twitter.com/Ask_WellsFargo/followers" TargetMode="External"/><Relationship Id="rId114" Type="http://schemas.openxmlformats.org/officeDocument/2006/relationships/hyperlink" Target="https://www.instagram.com/pncbank/followers/" TargetMode="External"/><Relationship Id="rId60" Type="http://schemas.openxmlformats.org/officeDocument/2006/relationships/hyperlink" Target="https://twitter.com/BankofAmerica/followers" TargetMode="External"/><Relationship Id="rId81" Type="http://schemas.openxmlformats.org/officeDocument/2006/relationships/hyperlink" Target="https://www.instagram.com/wellsfargo/followers/" TargetMode="External"/><Relationship Id="rId135" Type="http://schemas.openxmlformats.org/officeDocument/2006/relationships/hyperlink" Target="https://twitter.com/WFInvesting/followers" TargetMode="External"/><Relationship Id="rId156" Type="http://schemas.openxmlformats.org/officeDocument/2006/relationships/hyperlink" Target="https://twitter.com/USBankPayments/followers" TargetMode="External"/><Relationship Id="rId177" Type="http://schemas.openxmlformats.org/officeDocument/2006/relationships/hyperlink" Target="https://twitter.com/WFInvesting/followers" TargetMode="External"/><Relationship Id="rId198" Type="http://schemas.openxmlformats.org/officeDocument/2006/relationships/hyperlink" Target="https://www.instagram.com/citibank/followers/" TargetMode="External"/><Relationship Id="rId202" Type="http://schemas.openxmlformats.org/officeDocument/2006/relationships/hyperlink" Target="https://twitter.com/AskUSBank/followers" TargetMode="External"/><Relationship Id="rId223" Type="http://schemas.openxmlformats.org/officeDocument/2006/relationships/hyperlink" Target="https://twitter.com/AskSunTrust/followers" TargetMode="External"/><Relationship Id="rId18" Type="http://schemas.openxmlformats.org/officeDocument/2006/relationships/hyperlink" Target="https://www.instagram.com/wellsfargo/followers/" TargetMode="External"/><Relationship Id="rId39" Type="http://schemas.openxmlformats.org/officeDocument/2006/relationships/hyperlink" Target="https://www.instagram.com/capitalonebusiness/followers/" TargetMode="External"/><Relationship Id="rId50" Type="http://schemas.openxmlformats.org/officeDocument/2006/relationships/hyperlink" Target="https://twitter.com/usbank/followers" TargetMode="External"/><Relationship Id="rId104" Type="http://schemas.openxmlformats.org/officeDocument/2006/relationships/hyperlink" Target="https://twitter.com/PNCBank_Help/followers" TargetMode="External"/><Relationship Id="rId125" Type="http://schemas.openxmlformats.org/officeDocument/2006/relationships/hyperlink" Target="https://twitter.com/CapitalOneCafe/followers" TargetMode="External"/><Relationship Id="rId146" Type="http://schemas.openxmlformats.org/officeDocument/2006/relationships/hyperlink" Target="https://www.instagram.com/chase/followers/" TargetMode="External"/><Relationship Id="rId167" Type="http://schemas.openxmlformats.org/officeDocument/2006/relationships/hyperlink" Target="https://twitter.com/CapitalOneTech/followers" TargetMode="External"/><Relationship Id="rId188" Type="http://schemas.openxmlformats.org/officeDocument/2006/relationships/hyperlink" Target="https://twitter.com/AskCiti/followers" TargetMode="External"/><Relationship Id="rId71" Type="http://schemas.openxmlformats.org/officeDocument/2006/relationships/hyperlink" Target="https://twitter.com/Citi/followers" TargetMode="External"/><Relationship Id="rId92" Type="http://schemas.openxmlformats.org/officeDocument/2006/relationships/hyperlink" Target="https://twitter.com/AskCapitalOne/followers" TargetMode="External"/><Relationship Id="rId213" Type="http://schemas.openxmlformats.org/officeDocument/2006/relationships/hyperlink" Target="https://twitter.com/Chase/followers" TargetMode="External"/><Relationship Id="rId234" Type="http://schemas.openxmlformats.org/officeDocument/2006/relationships/table" Target="../tables/table1.xml"/><Relationship Id="rId2" Type="http://schemas.openxmlformats.org/officeDocument/2006/relationships/hyperlink" Target="https://twitter.com/capitalonejobs/followers" TargetMode="External"/><Relationship Id="rId29" Type="http://schemas.openxmlformats.org/officeDocument/2006/relationships/hyperlink" Target="https://twitter.com/CapitalOneCafe/followers" TargetMode="External"/><Relationship Id="rId40" Type="http://schemas.openxmlformats.org/officeDocument/2006/relationships/hyperlink" Target="https://www.instagram.com/citibank/followers/" TargetMode="External"/><Relationship Id="rId115" Type="http://schemas.openxmlformats.org/officeDocument/2006/relationships/hyperlink" Target="https://www.instagram.com/suntrust/followers/" TargetMode="External"/><Relationship Id="rId136" Type="http://schemas.openxmlformats.org/officeDocument/2006/relationships/hyperlink" Target="https://twitter.com/PNCBank/followers" TargetMode="External"/><Relationship Id="rId157" Type="http://schemas.openxmlformats.org/officeDocument/2006/relationships/hyperlink" Target="https://twitter.com/usbank/followers" TargetMode="External"/><Relationship Id="rId178" Type="http://schemas.openxmlformats.org/officeDocument/2006/relationships/hyperlink" Target="https://twitter.com/Citi/followers" TargetMode="External"/><Relationship Id="rId61" Type="http://schemas.openxmlformats.org/officeDocument/2006/relationships/hyperlink" Target="https://twitter.com/BofA_News/followers" TargetMode="External"/><Relationship Id="rId82" Type="http://schemas.openxmlformats.org/officeDocument/2006/relationships/hyperlink" Target="https://www.instagram.com/pncbank/followers/" TargetMode="External"/><Relationship Id="rId199" Type="http://schemas.openxmlformats.org/officeDocument/2006/relationships/hyperlink" Target="https://www.instagram.com/capitalonecareers/followers/" TargetMode="External"/><Relationship Id="rId203" Type="http://schemas.openxmlformats.org/officeDocument/2006/relationships/hyperlink" Target="https://twitter.com/usbank/followers" TargetMode="External"/><Relationship Id="rId19" Type="http://schemas.openxmlformats.org/officeDocument/2006/relationships/hyperlink" Target="https://www.instagram.com/pncbank/followers/" TargetMode="External"/><Relationship Id="rId224" Type="http://schemas.openxmlformats.org/officeDocument/2006/relationships/hyperlink" Target="https://twitter.com/PNCNews/followers" TargetMode="External"/><Relationship Id="rId30" Type="http://schemas.openxmlformats.org/officeDocument/2006/relationships/hyperlink" Target="https://twitter.com/CapitalOneBiz/followers" TargetMode="External"/><Relationship Id="rId105" Type="http://schemas.openxmlformats.org/officeDocument/2006/relationships/hyperlink" Target="https://twitter.com/PNCNews/followers" TargetMode="External"/><Relationship Id="rId126" Type="http://schemas.openxmlformats.org/officeDocument/2006/relationships/hyperlink" Target="https://twitter.com/capitalonejobs/followers" TargetMode="External"/><Relationship Id="rId147" Type="http://schemas.openxmlformats.org/officeDocument/2006/relationships/hyperlink" Target="https://www.instagram.com/truist/followers/" TargetMode="External"/><Relationship Id="rId168" Type="http://schemas.openxmlformats.org/officeDocument/2006/relationships/hyperlink" Target="https://twitter.com/capitalonejobs/followers" TargetMode="External"/><Relationship Id="rId51" Type="http://schemas.openxmlformats.org/officeDocument/2006/relationships/hyperlink" Target="https://twitter.com/AskUSBank/followers" TargetMode="External"/><Relationship Id="rId72" Type="http://schemas.openxmlformats.org/officeDocument/2006/relationships/hyperlink" Target="https://twitter.com/WellsFargo/followers" TargetMode="External"/><Relationship Id="rId93" Type="http://schemas.openxmlformats.org/officeDocument/2006/relationships/hyperlink" Target="https://twitter.com/CapitalOneCafe/followers" TargetMode="External"/><Relationship Id="rId189" Type="http://schemas.openxmlformats.org/officeDocument/2006/relationships/hyperlink" Target="https://twitter.com/Citi/followers" TargetMode="External"/><Relationship Id="rId3" Type="http://schemas.openxmlformats.org/officeDocument/2006/relationships/hyperlink" Target="https://twitter.com/capitalonenews/followers" TargetMode="External"/><Relationship Id="rId214" Type="http://schemas.openxmlformats.org/officeDocument/2006/relationships/hyperlink" Target="https://twitter.com/CapitalOne/followers" TargetMode="External"/><Relationship Id="rId116" Type="http://schemas.openxmlformats.org/officeDocument/2006/relationships/hyperlink" Target="https://www.instagram.com/usbank/followers/" TargetMode="External"/><Relationship Id="rId137" Type="http://schemas.openxmlformats.org/officeDocument/2006/relationships/hyperlink" Target="https://twitter.com/PNCBank_Help/followers" TargetMode="External"/><Relationship Id="rId158" Type="http://schemas.openxmlformats.org/officeDocument/2006/relationships/hyperlink" Target="https://twitter.com/TruistNews/followers"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3.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76844-335E-4673-912A-3469EE4959C9}">
  <sheetPr codeName="Sheet1"/>
  <dimension ref="A1:U29"/>
  <sheetViews>
    <sheetView showGridLines="0" tabSelected="1" zoomScale="81" zoomScaleNormal="81" workbookViewId="0">
      <selection activeCell="O21" sqref="O21"/>
    </sheetView>
  </sheetViews>
  <sheetFormatPr defaultRowHeight="12.5"/>
  <cols>
    <col min="1" max="1" width="3" style="33" customWidth="1"/>
    <col min="2" max="2" width="21.6328125" style="33" customWidth="1"/>
    <col min="3" max="3" width="28.26953125" style="33" customWidth="1"/>
    <col min="4" max="4" width="28.6328125" style="33" customWidth="1"/>
    <col min="5" max="5" width="15.54296875" style="33" customWidth="1"/>
    <col min="6" max="6" width="12.08984375" style="33" customWidth="1"/>
    <col min="7" max="7" width="14.36328125" style="33" customWidth="1"/>
    <col min="8" max="8" width="14.1796875" style="33" customWidth="1"/>
    <col min="9" max="20" width="8.7265625" style="33"/>
    <col min="21" max="21" width="10.54296875" style="33" customWidth="1"/>
    <col min="22" max="16384" width="8.7265625" style="33"/>
  </cols>
  <sheetData>
    <row r="1" spans="1:21" ht="12" customHeight="1">
      <c r="A1" s="34"/>
      <c r="B1" s="34"/>
      <c r="C1" s="34"/>
      <c r="D1" s="34"/>
      <c r="E1" s="34"/>
      <c r="F1" s="34"/>
      <c r="G1" s="34"/>
      <c r="H1" s="34"/>
      <c r="I1" s="34"/>
      <c r="J1" s="34"/>
      <c r="K1" s="34"/>
      <c r="L1" s="34"/>
      <c r="M1" s="34"/>
      <c r="N1" s="34"/>
      <c r="O1" s="34"/>
      <c r="P1" s="34"/>
      <c r="Q1" s="34"/>
      <c r="R1" s="34"/>
      <c r="S1" s="34"/>
      <c r="T1" s="34"/>
      <c r="U1" s="34"/>
    </row>
    <row r="2" spans="1:21" ht="24" customHeight="1">
      <c r="A2" s="40" t="str">
        <f ca="1">"Social Media Dashboard "&amp;'Headline Pivots'!$E$1</f>
        <v>Social Media Dashboard Jan to Dec</v>
      </c>
      <c r="B2" s="40"/>
      <c r="C2" s="40"/>
      <c r="D2" s="46"/>
      <c r="E2" s="47"/>
      <c r="F2" s="34"/>
      <c r="G2" s="34"/>
      <c r="H2" s="34"/>
      <c r="I2" s="34"/>
      <c r="J2" s="34"/>
      <c r="K2" s="34"/>
      <c r="L2" s="34"/>
      <c r="M2" s="34"/>
      <c r="N2" s="34"/>
      <c r="O2" s="34"/>
      <c r="P2" s="34"/>
      <c r="Q2" s="34"/>
      <c r="R2" s="34"/>
      <c r="S2" s="34"/>
      <c r="T2" s="34"/>
      <c r="U2" s="34"/>
    </row>
    <row r="18" spans="2:8" ht="14">
      <c r="B18" s="44"/>
      <c r="C18" s="44"/>
    </row>
    <row r="19" spans="2:8" ht="14">
      <c r="B19" s="35" t="s">
        <v>106</v>
      </c>
      <c r="C19" s="36"/>
      <c r="D19" s="37"/>
      <c r="E19" s="37"/>
      <c r="F19" s="37"/>
      <c r="G19" s="37"/>
      <c r="H19" s="37"/>
    </row>
    <row r="20" spans="2:8" ht="15.5">
      <c r="B20" s="41" t="s">
        <v>0</v>
      </c>
      <c r="C20" s="41" t="s">
        <v>107</v>
      </c>
      <c r="D20" s="41" t="s">
        <v>108</v>
      </c>
      <c r="E20" s="41" t="s">
        <v>1</v>
      </c>
      <c r="F20" s="41" t="s">
        <v>79</v>
      </c>
      <c r="G20" s="41" t="s">
        <v>105</v>
      </c>
      <c r="H20" s="41" t="s">
        <v>42</v>
      </c>
    </row>
    <row r="21" spans="2:8" ht="13">
      <c r="B21" s="24" t="str">
        <f>SparklinePivot!A5</f>
        <v>Chase</v>
      </c>
      <c r="C21" s="38">
        <f>IFERROR(GETPIVOTDATA("Followers",SparklinePivot!$A$3,"Bank",SparklinePivot!A5),"")</f>
        <v>106290171</v>
      </c>
      <c r="D21" s="39" t="str">
        <f>REPT("|",Dashboard!C21/MAX(Dashboard!$C$21:$C$29)*100)</f>
        <v>||||||||||||||||||||||||||||||||||||||||||||||||||||||||||||||||||||||||||||||||||||||||||||||||||||</v>
      </c>
      <c r="E21" s="24"/>
      <c r="F21" s="21"/>
      <c r="G21" s="21"/>
      <c r="H21" s="21"/>
    </row>
    <row r="22" spans="2:8" ht="13">
      <c r="B22" s="24" t="str">
        <f>SparklinePivot!A6</f>
        <v>Bank of America</v>
      </c>
      <c r="C22" s="38">
        <f>IFERROR(GETPIVOTDATA("Followers",SparklinePivot!$A$3,"Bank",SparklinePivot!A6),"")</f>
        <v>99986214</v>
      </c>
      <c r="D22" s="39" t="str">
        <f>REPT("|",Dashboard!C22/MAX(Dashboard!$C$21:$C$29)*100)</f>
        <v>||||||||||||||||||||||||||||||||||||||||||||||||||||||||||||||||||||||||||||||||||||||||||||||</v>
      </c>
      <c r="E22" s="24"/>
      <c r="F22" s="21"/>
      <c r="G22" s="21"/>
      <c r="H22" s="21"/>
    </row>
    <row r="23" spans="2:8" ht="13">
      <c r="B23" s="24" t="str">
        <f>SparklinePivot!A7</f>
        <v>Citi</v>
      </c>
      <c r="C23" s="38">
        <f>IFERROR(GETPIVOTDATA("Followers",SparklinePivot!$A$3,"Bank",SparklinePivot!A7),"")</f>
        <v>95102109</v>
      </c>
      <c r="D23" s="39" t="str">
        <f>REPT("|",Dashboard!C23/MAX(Dashboard!$C$21:$C$29)*100)</f>
        <v>|||||||||||||||||||||||||||||||||||||||||||||||||||||||||||||||||||||||||||||||||||||||||</v>
      </c>
      <c r="E23" s="24"/>
      <c r="F23" s="21"/>
      <c r="G23" s="21"/>
      <c r="H23" s="21"/>
    </row>
    <row r="24" spans="2:8" ht="13">
      <c r="B24" s="24" t="str">
        <f>SparklinePivot!A8</f>
        <v>Capital One</v>
      </c>
      <c r="C24" s="38">
        <f>IFERROR(GETPIVOTDATA("Followers",SparklinePivot!$A$3,"Bank",SparklinePivot!A8),"")</f>
        <v>64886458</v>
      </c>
      <c r="D24" s="39" t="str">
        <f>REPT("|",Dashboard!C24/MAX(Dashboard!$C$21:$C$29)*100)</f>
        <v>|||||||||||||||||||||||||||||||||||||||||||||||||||||||||||||</v>
      </c>
      <c r="E24" s="24"/>
      <c r="F24" s="21"/>
      <c r="G24" s="21"/>
      <c r="H24" s="21"/>
    </row>
    <row r="25" spans="2:8" ht="13">
      <c r="B25" s="24" t="str">
        <f>SparklinePivot!A9</f>
        <v>US Bank</v>
      </c>
      <c r="C25" s="38">
        <f>IFERROR(GETPIVOTDATA("Followers",SparklinePivot!$A$3,"Bank",SparklinePivot!A9),"")</f>
        <v>11760816</v>
      </c>
      <c r="D25" s="39" t="str">
        <f>REPT("|",Dashboard!C25/MAX(Dashboard!$C$21:$C$29)*100)</f>
        <v>|||||||||||</v>
      </c>
      <c r="E25" s="24"/>
      <c r="F25" s="21"/>
      <c r="G25" s="21"/>
      <c r="H25" s="21"/>
    </row>
    <row r="26" spans="2:8" ht="13">
      <c r="B26" s="24" t="str">
        <f>SparklinePivot!A10</f>
        <v>PNC</v>
      </c>
      <c r="C26" s="38">
        <f>IFERROR(GETPIVOTDATA("Followers",SparklinePivot!$A$3,"Bank",SparklinePivot!A10),"")</f>
        <v>9091220</v>
      </c>
      <c r="D26" s="39" t="str">
        <f>REPT("|",Dashboard!C26/MAX(Dashboard!$C$21:$C$29)*100)</f>
        <v>||||||||</v>
      </c>
      <c r="E26" s="24"/>
      <c r="F26" s="21"/>
      <c r="G26" s="21"/>
      <c r="H26" s="21"/>
    </row>
    <row r="27" spans="2:8" ht="13">
      <c r="B27" s="24" t="str">
        <f>SparklinePivot!A11</f>
        <v>Truist</v>
      </c>
      <c r="C27" s="38">
        <f>IFERROR(GETPIVOTDATA("Followers",SparklinePivot!$A$3,"Bank",SparklinePivot!A11),"")</f>
        <v>5025675</v>
      </c>
      <c r="D27" s="39" t="str">
        <f>REPT("|",Dashboard!C27/MAX(Dashboard!$C$21:$C$29)*100)</f>
        <v>||||</v>
      </c>
      <c r="E27" s="24"/>
      <c r="F27" s="21"/>
      <c r="G27" s="21"/>
      <c r="H27" s="21"/>
    </row>
    <row r="28" spans="2:8" ht="13">
      <c r="B28" s="24" t="str">
        <f>SparklinePivot!A12</f>
        <v>Grand Total</v>
      </c>
      <c r="C28" s="38" t="str">
        <f>IFERROR(GETPIVOTDATA("Followers",SparklinePivot!$A$3,"Bank",SparklinePivot!A12),"")</f>
        <v/>
      </c>
      <c r="D28" s="39" t="e">
        <f>REPT("|",Dashboard!C28/MAX(Dashboard!$C$21:$C$29)*100)</f>
        <v>#VALUE!</v>
      </c>
      <c r="E28" s="24"/>
      <c r="F28" s="21"/>
      <c r="G28" s="21"/>
      <c r="H28" s="21"/>
    </row>
    <row r="29" spans="2:8" ht="13">
      <c r="B29" s="24">
        <f>SparklinePivot!A13</f>
        <v>0</v>
      </c>
      <c r="C29" s="38" t="str">
        <f>IFERROR(GETPIVOTDATA("Followers",SparklinePivot!$A$3,"Bank",SparklinePivot!A13),"")</f>
        <v/>
      </c>
      <c r="D29" s="39" t="e">
        <f>REPT("|",Dashboard!C29/MAX(Dashboard!$C$21:$C$29)*100)</f>
        <v>#VALUE!</v>
      </c>
      <c r="E29" s="24"/>
      <c r="F29" s="21"/>
      <c r="G29" s="21"/>
      <c r="H29" s="21"/>
    </row>
  </sheetData>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type="column" displayEmptyCellsAs="gap" high="1" xr2:uid="{DAD0AEB5-D2DC-42B4-8B65-FB2714A8442F}">
          <x14:colorSeries theme="4"/>
          <x14:colorNegative theme="8"/>
          <x14:colorAxis rgb="FF000000"/>
          <x14:colorMarkers theme="7" tint="-0.499984740745262"/>
          <x14:colorFirst theme="7" tint="0.39997558519241921"/>
          <x14:colorLast theme="7" tint="0.39997558519241921"/>
          <x14:colorHigh theme="7"/>
          <x14:colorLow theme="7"/>
          <x14:sparklines>
            <x14:sparkline>
              <xm:f>SparklinePivot!B30:N30</xm:f>
              <xm:sqref>E21</xm:sqref>
            </x14:sparkline>
            <x14:sparkline>
              <xm:f>SparklinePivot!B31:N31</xm:f>
              <xm:sqref>E22</xm:sqref>
            </x14:sparkline>
            <x14:sparkline>
              <xm:f>SparklinePivot!B32:N32</xm:f>
              <xm:sqref>E23</xm:sqref>
            </x14:sparkline>
            <x14:sparkline>
              <xm:f>SparklinePivot!B33:N33</xm:f>
              <xm:sqref>E24</xm:sqref>
            </x14:sparkline>
            <x14:sparkline>
              <xm:f>SparklinePivot!B34:N34</xm:f>
              <xm:sqref>E25</xm:sqref>
            </x14:sparkline>
            <x14:sparkline>
              <xm:f>SparklinePivot!B35:N35</xm:f>
              <xm:sqref>E26</xm:sqref>
            </x14:sparkline>
            <x14:sparkline>
              <xm:f>SparklinePivot!B36:N36</xm:f>
              <xm:sqref>E27</xm:sqref>
            </x14:sparkline>
            <x14:sparkline>
              <xm:f>SparklinePivot!B37:N37</xm:f>
              <xm:sqref>E28</xm:sqref>
            </x14:sparkline>
            <x14:sparkline>
              <xm:f>SparklinePivot!B38:N38</xm:f>
              <xm:sqref>E29</xm:sqref>
            </x14:sparkline>
          </x14:sparklines>
        </x14:sparklineGroup>
        <x14:sparklineGroup type="column" displayEmptyCellsAs="gap" high="1" xr2:uid="{F33F72A1-965B-44FF-8A9A-6CD786F0DE52}">
          <x14:colorSeries rgb="FF0070C0"/>
          <x14:colorNegative theme="8"/>
          <x14:colorAxis rgb="FF000000"/>
          <x14:colorMarkers theme="7" tint="-0.499984740745262"/>
          <x14:colorFirst theme="7" tint="0.39997558519241921"/>
          <x14:colorLast theme="7" tint="0.39997558519241921"/>
          <x14:colorHigh theme="7"/>
          <x14:colorLow theme="7"/>
          <x14:sparklines>
            <x14:sparkline>
              <xm:f>SparklinePivot!B51:O51</xm:f>
              <xm:sqref>F21</xm:sqref>
            </x14:sparkline>
            <x14:sparkline>
              <xm:f>SparklinePivot!B52:O52</xm:f>
              <xm:sqref>F22</xm:sqref>
            </x14:sparkline>
            <x14:sparkline>
              <xm:f>SparklinePivot!B53:O53</xm:f>
              <xm:sqref>F23</xm:sqref>
            </x14:sparkline>
            <x14:sparkline>
              <xm:f>SparklinePivot!B54:O54</xm:f>
              <xm:sqref>F24</xm:sqref>
            </x14:sparkline>
            <x14:sparkline>
              <xm:f>SparklinePivot!B55:O55</xm:f>
              <xm:sqref>F25</xm:sqref>
            </x14:sparkline>
            <x14:sparkline>
              <xm:f>SparklinePivot!B56:O56</xm:f>
              <xm:sqref>F26</xm:sqref>
            </x14:sparkline>
            <x14:sparkline>
              <xm:f>SparklinePivot!B57:O57</xm:f>
              <xm:sqref>F27</xm:sqref>
            </x14:sparkline>
            <x14:sparkline>
              <xm:f>SparklinePivot!B58:O58</xm:f>
              <xm:sqref>F28</xm:sqref>
            </x14:sparkline>
            <x14:sparkline>
              <xm:f>SparklinePivot!B59:O59</xm:f>
              <xm:sqref>F29</xm:sqref>
            </x14:sparkline>
          </x14:sparklines>
        </x14:sparklineGroup>
        <x14:sparklineGroup type="column" displayEmptyCellsAs="gap" high="1" xr2:uid="{3D0FEFBD-2CC7-4A23-BD66-4BE93814FF03}">
          <x14:colorSeries rgb="FF92D050"/>
          <x14:colorNegative theme="8"/>
          <x14:colorAxis rgb="FF000000"/>
          <x14:colorMarkers theme="7" tint="-0.499984740745262"/>
          <x14:colorFirst theme="7" tint="0.39997558519241921"/>
          <x14:colorLast theme="7" tint="0.39997558519241921"/>
          <x14:colorHigh theme="7"/>
          <x14:colorLow theme="7"/>
          <x14:sparklines>
            <x14:sparkline>
              <xm:f>SparklinePivot!B73:O73</xm:f>
              <xm:sqref>G21</xm:sqref>
            </x14:sparkline>
            <x14:sparkline>
              <xm:f>SparklinePivot!B74:O74</xm:f>
              <xm:sqref>G22</xm:sqref>
            </x14:sparkline>
            <x14:sparkline>
              <xm:f>SparklinePivot!B75:O75</xm:f>
              <xm:sqref>G23</xm:sqref>
            </x14:sparkline>
            <x14:sparkline>
              <xm:f>SparklinePivot!B76:O76</xm:f>
              <xm:sqref>G24</xm:sqref>
            </x14:sparkline>
            <x14:sparkline>
              <xm:f>SparklinePivot!B77:O77</xm:f>
              <xm:sqref>G25</xm:sqref>
            </x14:sparkline>
            <x14:sparkline>
              <xm:f>SparklinePivot!B78:O78</xm:f>
              <xm:sqref>G26</xm:sqref>
            </x14:sparkline>
            <x14:sparkline>
              <xm:f>SparklinePivot!B79:O79</xm:f>
              <xm:sqref>G27</xm:sqref>
            </x14:sparkline>
            <x14:sparkline>
              <xm:f>SparklinePivot!B80:O80</xm:f>
              <xm:sqref>G28</xm:sqref>
            </x14:sparkline>
            <x14:sparkline>
              <xm:f>SparklinePivot!B81:O81</xm:f>
              <xm:sqref>G29</xm:sqref>
            </x14:sparkline>
          </x14:sparklines>
        </x14:sparklineGroup>
        <x14:sparklineGroup type="column" displayEmptyCellsAs="gap" high="1" xr2:uid="{D1A20655-0F53-46CD-9E55-05F7D8A6CEBB}">
          <x14:colorSeries rgb="FFC06025"/>
          <x14:colorNegative theme="8"/>
          <x14:colorAxis rgb="FF000000"/>
          <x14:colorMarkers theme="7" tint="-0.499984740745262"/>
          <x14:colorFirst theme="7" tint="0.39997558519241921"/>
          <x14:colorLast theme="7" tint="0.39997558519241921"/>
          <x14:colorHigh theme="7"/>
          <x14:colorLow theme="7"/>
          <x14:sparklines>
            <x14:sparkline>
              <xm:f>SparklinePivot!B93:O93</xm:f>
              <xm:sqref>H21</xm:sqref>
            </x14:sparkline>
            <x14:sparkline>
              <xm:f>SparklinePivot!B94:O94</xm:f>
              <xm:sqref>H22</xm:sqref>
            </x14:sparkline>
            <x14:sparkline>
              <xm:f>SparklinePivot!B95:O95</xm:f>
              <xm:sqref>H23</xm:sqref>
            </x14:sparkline>
            <x14:sparkline>
              <xm:f>SparklinePivot!B96:O96</xm:f>
              <xm:sqref>H24</xm:sqref>
            </x14:sparkline>
            <x14:sparkline>
              <xm:f>SparklinePivot!B97:O97</xm:f>
              <xm:sqref>H25</xm:sqref>
            </x14:sparkline>
            <x14:sparkline>
              <xm:f>SparklinePivot!B98:O98</xm:f>
              <xm:sqref>H26</xm:sqref>
            </x14:sparkline>
            <x14:sparkline>
              <xm:f>SparklinePivot!B99:O99</xm:f>
              <xm:sqref>H27</xm:sqref>
            </x14:sparkline>
            <x14:sparkline>
              <xm:f>SparklinePivot!B100:O100</xm:f>
              <xm:sqref>H28</xm:sqref>
            </x14:sparkline>
            <x14:sparkline>
              <xm:f>SparklinePivot!B101:O101</xm:f>
              <xm:sqref>H29</xm:sqref>
            </x14:sparkline>
          </x14:sparklines>
        </x14:sparklineGroup>
      </x14:sparklineGroup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S1118"/>
  <sheetViews>
    <sheetView topLeftCell="A186" zoomScale="99" zoomScaleNormal="99" workbookViewId="0">
      <selection activeCell="C2" sqref="C2"/>
    </sheetView>
  </sheetViews>
  <sheetFormatPr defaultColWidth="12.7265625" defaultRowHeight="13"/>
  <cols>
    <col min="1" max="1" width="10.453125" style="3" bestFit="1" customWidth="1"/>
    <col min="2" max="2" width="38.81640625" style="3" bestFit="1" customWidth="1"/>
    <col min="3" max="3" width="37.7265625" style="2" bestFit="1" customWidth="1"/>
    <col min="4" max="4" width="12.81640625" style="2" customWidth="1"/>
    <col min="5" max="5" width="15.81640625" style="2" customWidth="1"/>
    <col min="6" max="16384" width="12.7265625" style="3"/>
  </cols>
  <sheetData>
    <row r="1" spans="1:11">
      <c r="A1" s="4" t="s">
        <v>76</v>
      </c>
      <c r="B1" s="4" t="s">
        <v>0</v>
      </c>
      <c r="C1" s="4" t="s">
        <v>77</v>
      </c>
      <c r="D1" s="1" t="s">
        <v>78</v>
      </c>
      <c r="E1" s="1" t="s">
        <v>74</v>
      </c>
    </row>
    <row r="2" spans="1:11">
      <c r="A2" s="3" t="s">
        <v>1</v>
      </c>
      <c r="B2" s="3" t="s">
        <v>2</v>
      </c>
      <c r="C2" s="3" t="s">
        <v>2</v>
      </c>
      <c r="D2" s="5">
        <v>44589</v>
      </c>
      <c r="E2" s="8">
        <v>2779295</v>
      </c>
    </row>
    <row r="3" spans="1:11">
      <c r="A3" s="3" t="s">
        <v>1</v>
      </c>
      <c r="B3" s="3" t="s">
        <v>3</v>
      </c>
      <c r="C3" s="3" t="s">
        <v>3</v>
      </c>
      <c r="D3" s="5">
        <v>44589</v>
      </c>
      <c r="E3" s="8">
        <v>3952818</v>
      </c>
    </row>
    <row r="4" spans="1:11">
      <c r="A4" s="3" t="s">
        <v>1</v>
      </c>
      <c r="B4" s="3" t="s">
        <v>3</v>
      </c>
      <c r="C4" s="3" t="s">
        <v>4</v>
      </c>
      <c r="D4" s="5">
        <v>44589</v>
      </c>
      <c r="E4" s="8">
        <v>96736</v>
      </c>
    </row>
    <row r="5" spans="1:11">
      <c r="A5" s="3" t="s">
        <v>1</v>
      </c>
      <c r="B5" s="3" t="s">
        <v>3</v>
      </c>
      <c r="C5" s="3" t="s">
        <v>5</v>
      </c>
      <c r="D5" s="5">
        <v>44589</v>
      </c>
      <c r="E5" s="8">
        <v>14777</v>
      </c>
    </row>
    <row r="6" spans="1:11">
      <c r="A6" s="3" t="s">
        <v>1</v>
      </c>
      <c r="B6" s="3" t="s">
        <v>3</v>
      </c>
      <c r="C6" s="3" t="s">
        <v>6</v>
      </c>
      <c r="D6" s="5">
        <v>44589</v>
      </c>
      <c r="E6" s="8">
        <v>160008</v>
      </c>
    </row>
    <row r="7" spans="1:11">
      <c r="A7" s="3" t="s">
        <v>1</v>
      </c>
      <c r="B7" s="3" t="s">
        <v>7</v>
      </c>
      <c r="C7" s="3" t="s">
        <v>7</v>
      </c>
      <c r="D7" s="5">
        <v>44589</v>
      </c>
      <c r="E7" s="8">
        <v>3702495</v>
      </c>
    </row>
    <row r="8" spans="1:11">
      <c r="A8" s="3" t="s">
        <v>1</v>
      </c>
      <c r="B8" s="3" t="s">
        <v>7</v>
      </c>
      <c r="C8" s="3" t="s">
        <v>8</v>
      </c>
      <c r="D8" s="5">
        <v>44589</v>
      </c>
      <c r="E8" s="8">
        <v>400833</v>
      </c>
    </row>
    <row r="9" spans="1:11">
      <c r="A9" s="3" t="s">
        <v>1</v>
      </c>
      <c r="B9" s="3" t="s">
        <v>7</v>
      </c>
      <c r="C9" s="3" t="s">
        <v>9</v>
      </c>
      <c r="D9" s="5">
        <v>44589</v>
      </c>
      <c r="E9" s="8">
        <v>212458</v>
      </c>
      <c r="J9" s="6"/>
      <c r="K9" s="6"/>
    </row>
    <row r="10" spans="1:11">
      <c r="A10" s="3" t="s">
        <v>1</v>
      </c>
      <c r="B10" s="3" t="s">
        <v>10</v>
      </c>
      <c r="C10" s="3" t="s">
        <v>10</v>
      </c>
      <c r="D10" s="5">
        <v>44589</v>
      </c>
      <c r="E10" s="8">
        <v>1201072</v>
      </c>
    </row>
    <row r="11" spans="1:11">
      <c r="A11" s="3" t="s">
        <v>1</v>
      </c>
      <c r="B11" s="3" t="s">
        <v>10</v>
      </c>
      <c r="C11" s="3" t="s">
        <v>11</v>
      </c>
      <c r="D11" s="5">
        <v>44589</v>
      </c>
      <c r="E11" s="8">
        <v>1144626</v>
      </c>
    </row>
    <row r="12" spans="1:11">
      <c r="A12" s="3" t="s">
        <v>1</v>
      </c>
      <c r="B12" s="3" t="s">
        <v>10</v>
      </c>
      <c r="C12" s="3" t="s">
        <v>12</v>
      </c>
      <c r="D12" s="5">
        <v>44589</v>
      </c>
      <c r="E12" s="8">
        <v>215149</v>
      </c>
    </row>
    <row r="13" spans="1:11">
      <c r="A13" s="3" t="s">
        <v>1</v>
      </c>
      <c r="B13" s="3" t="s">
        <v>13</v>
      </c>
      <c r="C13" s="3" t="s">
        <v>13</v>
      </c>
      <c r="D13" s="5">
        <v>44589</v>
      </c>
      <c r="E13" s="8">
        <v>1141858</v>
      </c>
    </row>
    <row r="14" spans="1:11">
      <c r="A14" s="3" t="s">
        <v>1</v>
      </c>
      <c r="B14" s="3" t="s">
        <v>13</v>
      </c>
      <c r="C14" s="3" t="s">
        <v>14</v>
      </c>
      <c r="D14" s="5">
        <v>44589</v>
      </c>
      <c r="E14" s="8">
        <v>192513</v>
      </c>
    </row>
    <row r="15" spans="1:11">
      <c r="A15" s="3" t="s">
        <v>1</v>
      </c>
      <c r="B15" s="3" t="s">
        <v>13</v>
      </c>
      <c r="C15" s="3" t="s">
        <v>15</v>
      </c>
      <c r="D15" s="5">
        <v>44589</v>
      </c>
      <c r="E15" s="8">
        <v>1053</v>
      </c>
    </row>
    <row r="16" spans="1:11">
      <c r="A16" s="3" t="s">
        <v>1</v>
      </c>
      <c r="B16" s="3" t="s">
        <v>16</v>
      </c>
      <c r="C16" s="3" t="s">
        <v>16</v>
      </c>
      <c r="D16" s="5">
        <v>44589</v>
      </c>
      <c r="E16" s="8">
        <v>339417</v>
      </c>
    </row>
    <row r="17" spans="1:5">
      <c r="A17" s="3" t="s">
        <v>1</v>
      </c>
      <c r="B17" s="3" t="s">
        <v>17</v>
      </c>
      <c r="C17" s="3" t="s">
        <v>17</v>
      </c>
      <c r="D17" s="5">
        <v>44589</v>
      </c>
      <c r="E17" s="8">
        <v>125124</v>
      </c>
    </row>
    <row r="18" spans="1:5">
      <c r="A18" s="3" t="s">
        <v>1</v>
      </c>
      <c r="B18" s="3" t="s">
        <v>18</v>
      </c>
      <c r="C18" s="3" t="s">
        <v>19</v>
      </c>
      <c r="D18" s="5">
        <v>44589</v>
      </c>
      <c r="E18" s="8">
        <v>326864</v>
      </c>
    </row>
    <row r="19" spans="1:5">
      <c r="A19" s="3" t="s">
        <v>20</v>
      </c>
      <c r="B19" s="3" t="s">
        <v>2</v>
      </c>
      <c r="C19" s="3" t="s">
        <v>2</v>
      </c>
      <c r="D19" s="5">
        <v>44589</v>
      </c>
      <c r="E19" s="8">
        <v>2028349</v>
      </c>
    </row>
    <row r="20" spans="1:5">
      <c r="A20" s="3" t="s">
        <v>20</v>
      </c>
      <c r="B20" s="3" t="s">
        <v>2</v>
      </c>
      <c r="C20" s="3" t="s">
        <v>21</v>
      </c>
      <c r="D20" s="5">
        <v>44589</v>
      </c>
      <c r="E20" s="8">
        <v>336752</v>
      </c>
    </row>
    <row r="21" spans="1:5">
      <c r="A21" s="3" t="s">
        <v>20</v>
      </c>
      <c r="B21" s="3" t="s">
        <v>2</v>
      </c>
      <c r="C21" s="3" t="s">
        <v>22</v>
      </c>
      <c r="D21" s="5">
        <v>44589</v>
      </c>
      <c r="E21" s="8">
        <v>290536</v>
      </c>
    </row>
    <row r="22" spans="1:5">
      <c r="A22" s="3" t="s">
        <v>20</v>
      </c>
      <c r="B22" s="3" t="s">
        <v>2</v>
      </c>
      <c r="C22" s="3" t="s">
        <v>23</v>
      </c>
      <c r="D22" s="5">
        <v>44589</v>
      </c>
      <c r="E22" s="8">
        <v>625182</v>
      </c>
    </row>
    <row r="23" spans="1:5">
      <c r="A23" s="3" t="s">
        <v>20</v>
      </c>
      <c r="B23" s="3" t="s">
        <v>2</v>
      </c>
      <c r="C23" s="3" t="s">
        <v>24</v>
      </c>
      <c r="D23" s="5">
        <v>44589</v>
      </c>
      <c r="E23" s="8">
        <v>18826</v>
      </c>
    </row>
    <row r="24" spans="1:5">
      <c r="A24" s="3" t="s">
        <v>20</v>
      </c>
      <c r="B24" s="3" t="s">
        <v>3</v>
      </c>
      <c r="C24" s="3" t="s">
        <v>3</v>
      </c>
      <c r="D24" s="5">
        <v>44589</v>
      </c>
      <c r="E24" s="8">
        <v>532002</v>
      </c>
    </row>
    <row r="25" spans="1:5">
      <c r="A25" s="3" t="s">
        <v>20</v>
      </c>
      <c r="B25" s="3" t="s">
        <v>3</v>
      </c>
      <c r="C25" s="3" t="s">
        <v>25</v>
      </c>
      <c r="D25" s="5">
        <v>44589</v>
      </c>
      <c r="E25" s="8">
        <v>28843</v>
      </c>
    </row>
    <row r="26" spans="1:5">
      <c r="A26" s="3" t="s">
        <v>20</v>
      </c>
      <c r="B26" s="3" t="s">
        <v>7</v>
      </c>
      <c r="C26" s="3" t="s">
        <v>7</v>
      </c>
      <c r="D26" s="5">
        <v>44589</v>
      </c>
      <c r="E26" s="8">
        <v>336631</v>
      </c>
    </row>
    <row r="27" spans="1:5">
      <c r="A27" s="3" t="s">
        <v>20</v>
      </c>
      <c r="B27" s="3" t="s">
        <v>7</v>
      </c>
      <c r="C27" s="3" t="s">
        <v>8</v>
      </c>
      <c r="D27" s="5">
        <v>44589</v>
      </c>
      <c r="E27" s="8">
        <v>2892753</v>
      </c>
    </row>
    <row r="28" spans="1:5">
      <c r="A28" s="3" t="s">
        <v>20</v>
      </c>
      <c r="B28" s="3" t="s">
        <v>7</v>
      </c>
      <c r="C28" s="3" t="s">
        <v>26</v>
      </c>
      <c r="D28" s="5">
        <v>44589</v>
      </c>
      <c r="E28" s="8">
        <v>36843</v>
      </c>
    </row>
    <row r="29" spans="1:5">
      <c r="A29" s="3" t="s">
        <v>20</v>
      </c>
      <c r="B29" s="3" t="s">
        <v>10</v>
      </c>
      <c r="C29" s="3" t="s">
        <v>10</v>
      </c>
      <c r="D29" s="5">
        <v>44589</v>
      </c>
      <c r="E29" s="8">
        <v>3540466</v>
      </c>
    </row>
    <row r="30" spans="1:5">
      <c r="A30" s="3" t="s">
        <v>20</v>
      </c>
      <c r="B30" s="3" t="s">
        <v>10</v>
      </c>
      <c r="C30" s="3" t="s">
        <v>27</v>
      </c>
      <c r="D30" s="5">
        <v>44589</v>
      </c>
      <c r="E30" s="8">
        <v>12941</v>
      </c>
    </row>
    <row r="31" spans="1:5">
      <c r="A31" s="3" t="s">
        <v>20</v>
      </c>
      <c r="B31" s="3" t="s">
        <v>10</v>
      </c>
      <c r="C31" s="3" t="s">
        <v>82</v>
      </c>
      <c r="D31" s="5">
        <v>44589</v>
      </c>
      <c r="E31" s="8">
        <v>44257</v>
      </c>
    </row>
    <row r="32" spans="1:5">
      <c r="A32" s="3" t="s">
        <v>20</v>
      </c>
      <c r="B32" s="3" t="s">
        <v>13</v>
      </c>
      <c r="C32" s="3" t="s">
        <v>13</v>
      </c>
      <c r="D32" s="5">
        <v>44589</v>
      </c>
      <c r="E32" s="8">
        <v>1734700</v>
      </c>
    </row>
    <row r="33" spans="1:5">
      <c r="A33" s="3" t="s">
        <v>20</v>
      </c>
      <c r="B33" s="3" t="s">
        <v>13</v>
      </c>
      <c r="C33" s="3" t="s">
        <v>81</v>
      </c>
      <c r="D33" s="5">
        <v>44589</v>
      </c>
      <c r="E33" s="8">
        <v>94341</v>
      </c>
    </row>
    <row r="34" spans="1:5">
      <c r="A34" s="3" t="s">
        <v>20</v>
      </c>
      <c r="B34" s="3" t="s">
        <v>13</v>
      </c>
      <c r="C34" s="3" t="s">
        <v>28</v>
      </c>
      <c r="D34" s="5">
        <v>44589</v>
      </c>
      <c r="E34" s="8" t="s">
        <v>75</v>
      </c>
    </row>
    <row r="35" spans="1:5">
      <c r="A35" s="3" t="s">
        <v>20</v>
      </c>
      <c r="B35" s="3" t="s">
        <v>16</v>
      </c>
      <c r="C35" s="3" t="s">
        <v>16</v>
      </c>
      <c r="D35" s="5">
        <v>44589</v>
      </c>
      <c r="E35" s="8">
        <v>225034</v>
      </c>
    </row>
    <row r="36" spans="1:5">
      <c r="A36" s="3" t="s">
        <v>20</v>
      </c>
      <c r="B36" s="3" t="s">
        <v>16</v>
      </c>
      <c r="C36" s="3" t="s">
        <v>29</v>
      </c>
      <c r="D36" s="5">
        <v>44589</v>
      </c>
      <c r="E36" s="8">
        <v>13128</v>
      </c>
    </row>
    <row r="37" spans="1:5">
      <c r="A37" s="3" t="s">
        <v>20</v>
      </c>
      <c r="B37" s="3" t="s">
        <v>16</v>
      </c>
      <c r="C37" s="3" t="s">
        <v>30</v>
      </c>
      <c r="D37" s="5">
        <v>44589</v>
      </c>
      <c r="E37" s="8" t="s">
        <v>75</v>
      </c>
    </row>
    <row r="38" spans="1:5">
      <c r="A38" s="3" t="s">
        <v>20</v>
      </c>
      <c r="B38" s="3" t="s">
        <v>16</v>
      </c>
      <c r="C38" s="3" t="s">
        <v>31</v>
      </c>
      <c r="D38" s="5">
        <v>44589</v>
      </c>
      <c r="E38" s="8">
        <v>6831</v>
      </c>
    </row>
    <row r="39" spans="1:5">
      <c r="A39" s="3" t="s">
        <v>20</v>
      </c>
      <c r="B39" s="3" t="s">
        <v>16</v>
      </c>
      <c r="C39" s="3" t="s">
        <v>32</v>
      </c>
      <c r="D39" s="5">
        <v>44589</v>
      </c>
      <c r="E39" s="8">
        <v>6626</v>
      </c>
    </row>
    <row r="40" spans="1:5">
      <c r="A40" s="3" t="s">
        <v>20</v>
      </c>
      <c r="B40" s="3" t="s">
        <v>16</v>
      </c>
      <c r="C40" s="3" t="s">
        <v>33</v>
      </c>
      <c r="D40" s="5">
        <v>44589</v>
      </c>
      <c r="E40" s="8" t="s">
        <v>75</v>
      </c>
    </row>
    <row r="41" spans="1:5">
      <c r="A41" s="3" t="s">
        <v>20</v>
      </c>
      <c r="B41" s="3" t="s">
        <v>17</v>
      </c>
      <c r="C41" s="3" t="s">
        <v>17</v>
      </c>
      <c r="D41" s="5">
        <v>44589</v>
      </c>
      <c r="E41" s="8" t="s">
        <v>84</v>
      </c>
    </row>
    <row r="42" spans="1:5">
      <c r="A42" s="3" t="s">
        <v>20</v>
      </c>
      <c r="B42" s="3" t="s">
        <v>17</v>
      </c>
      <c r="C42" s="3" t="s">
        <v>34</v>
      </c>
      <c r="D42" s="5">
        <v>44589</v>
      </c>
      <c r="E42" s="8">
        <v>12054</v>
      </c>
    </row>
    <row r="43" spans="1:5">
      <c r="A43" s="3" t="s">
        <v>20</v>
      </c>
      <c r="B43" s="3" t="s">
        <v>17</v>
      </c>
      <c r="C43" s="3" t="s">
        <v>35</v>
      </c>
      <c r="D43" s="5">
        <v>44589</v>
      </c>
      <c r="E43" s="8">
        <v>5129</v>
      </c>
    </row>
    <row r="44" spans="1:5">
      <c r="A44" s="3" t="s">
        <v>20</v>
      </c>
      <c r="B44" s="3" t="s">
        <v>17</v>
      </c>
      <c r="C44" s="3" t="s">
        <v>36</v>
      </c>
      <c r="D44" s="5">
        <v>44589</v>
      </c>
      <c r="E44" s="8">
        <v>929</v>
      </c>
    </row>
    <row r="45" spans="1:5">
      <c r="A45" s="3" t="s">
        <v>20</v>
      </c>
      <c r="B45" s="3" t="s">
        <v>17</v>
      </c>
      <c r="C45" s="3" t="s">
        <v>37</v>
      </c>
      <c r="D45" s="5">
        <v>44589</v>
      </c>
      <c r="E45" s="8">
        <v>2958</v>
      </c>
    </row>
    <row r="46" spans="1:5">
      <c r="A46" s="3" t="s">
        <v>20</v>
      </c>
      <c r="B46" s="3" t="s">
        <v>18</v>
      </c>
      <c r="C46" s="3" t="s">
        <v>19</v>
      </c>
      <c r="D46" s="5">
        <v>44589</v>
      </c>
      <c r="E46" s="8">
        <v>346569</v>
      </c>
    </row>
    <row r="47" spans="1:5">
      <c r="A47" s="3" t="s">
        <v>20</v>
      </c>
      <c r="B47" s="3" t="s">
        <v>18</v>
      </c>
      <c r="C47" s="3" t="s">
        <v>38</v>
      </c>
      <c r="D47" s="5">
        <v>44589</v>
      </c>
      <c r="E47" s="8">
        <v>4625</v>
      </c>
    </row>
    <row r="48" spans="1:5">
      <c r="A48" s="3" t="s">
        <v>20</v>
      </c>
      <c r="B48" s="3" t="s">
        <v>18</v>
      </c>
      <c r="C48" s="3" t="s">
        <v>39</v>
      </c>
      <c r="D48" s="5">
        <v>44589</v>
      </c>
      <c r="E48" s="8">
        <v>7471</v>
      </c>
    </row>
    <row r="49" spans="1:5">
      <c r="A49" s="3" t="s">
        <v>20</v>
      </c>
      <c r="B49" s="3" t="s">
        <v>18</v>
      </c>
      <c r="C49" s="3" t="s">
        <v>40</v>
      </c>
      <c r="D49" s="5">
        <v>44589</v>
      </c>
      <c r="E49" s="8">
        <v>3345</v>
      </c>
    </row>
    <row r="50" spans="1:5">
      <c r="A50" s="3" t="s">
        <v>20</v>
      </c>
      <c r="B50" s="3" t="s">
        <v>18</v>
      </c>
      <c r="C50" s="3" t="s">
        <v>73</v>
      </c>
      <c r="D50" s="5">
        <v>44589</v>
      </c>
      <c r="E50" s="8">
        <v>743</v>
      </c>
    </row>
    <row r="51" spans="1:5">
      <c r="A51" s="3" t="s">
        <v>20</v>
      </c>
      <c r="B51" s="3" t="s">
        <v>18</v>
      </c>
      <c r="C51" s="3" t="s">
        <v>41</v>
      </c>
      <c r="D51" s="5">
        <v>44589</v>
      </c>
      <c r="E51" s="8">
        <v>9236</v>
      </c>
    </row>
    <row r="52" spans="1:5">
      <c r="A52" s="3" t="s">
        <v>42</v>
      </c>
      <c r="B52" s="3" t="s">
        <v>2</v>
      </c>
      <c r="C52" s="3" t="s">
        <v>2</v>
      </c>
      <c r="D52" s="5">
        <v>44589</v>
      </c>
      <c r="E52" s="8">
        <v>715900</v>
      </c>
    </row>
    <row r="53" spans="1:5">
      <c r="A53" s="3" t="s">
        <v>42</v>
      </c>
      <c r="B53" s="3" t="s">
        <v>2</v>
      </c>
      <c r="C53" s="3" t="s">
        <v>43</v>
      </c>
      <c r="D53" s="5">
        <v>44589</v>
      </c>
      <c r="E53" s="8">
        <v>467600</v>
      </c>
    </row>
    <row r="54" spans="1:5">
      <c r="A54" s="3" t="s">
        <v>42</v>
      </c>
      <c r="B54" s="3" t="s">
        <v>2</v>
      </c>
      <c r="C54" s="3" t="s">
        <v>83</v>
      </c>
      <c r="D54" s="5">
        <v>44589</v>
      </c>
      <c r="E54" s="8">
        <v>128200</v>
      </c>
    </row>
    <row r="55" spans="1:5">
      <c r="A55" s="3" t="s">
        <v>42</v>
      </c>
      <c r="B55" s="3" t="s">
        <v>2</v>
      </c>
      <c r="C55" s="3" t="s">
        <v>44</v>
      </c>
      <c r="D55" s="5">
        <v>44589</v>
      </c>
      <c r="E55" s="8">
        <v>135200</v>
      </c>
    </row>
    <row r="56" spans="1:5">
      <c r="A56" s="3" t="s">
        <v>42</v>
      </c>
      <c r="B56" s="3" t="s">
        <v>2</v>
      </c>
      <c r="C56" s="3" t="s">
        <v>45</v>
      </c>
      <c r="D56" s="5">
        <v>44589</v>
      </c>
      <c r="E56" s="8">
        <v>158300</v>
      </c>
    </row>
    <row r="57" spans="1:5">
      <c r="A57" s="3" t="s">
        <v>42</v>
      </c>
      <c r="B57" s="3" t="s">
        <v>2</v>
      </c>
      <c r="C57" s="3" t="s">
        <v>80</v>
      </c>
      <c r="D57" s="5">
        <v>44589</v>
      </c>
      <c r="E57" s="8">
        <v>17100</v>
      </c>
    </row>
    <row r="58" spans="1:5">
      <c r="A58" s="3" t="s">
        <v>42</v>
      </c>
      <c r="B58" s="3" t="s">
        <v>3</v>
      </c>
      <c r="C58" s="3" t="s">
        <v>3</v>
      </c>
      <c r="D58" s="5">
        <v>44589</v>
      </c>
      <c r="E58" s="8">
        <v>202700</v>
      </c>
    </row>
    <row r="59" spans="1:5">
      <c r="A59" s="3" t="s">
        <v>42</v>
      </c>
      <c r="B59" s="3" t="s">
        <v>3</v>
      </c>
      <c r="C59" s="3" t="s">
        <v>46</v>
      </c>
      <c r="D59" s="5">
        <v>44589</v>
      </c>
      <c r="E59" s="8">
        <v>115900</v>
      </c>
    </row>
    <row r="60" spans="1:5">
      <c r="A60" s="3" t="s">
        <v>42</v>
      </c>
      <c r="B60" s="3" t="s">
        <v>3</v>
      </c>
      <c r="C60" s="3" t="s">
        <v>4</v>
      </c>
      <c r="D60" s="5">
        <v>44589</v>
      </c>
      <c r="E60" s="8">
        <v>47900</v>
      </c>
    </row>
    <row r="61" spans="1:5">
      <c r="A61" s="3" t="s">
        <v>42</v>
      </c>
      <c r="B61" s="3" t="s">
        <v>3</v>
      </c>
      <c r="C61" s="3" t="s">
        <v>5</v>
      </c>
      <c r="D61" s="5">
        <v>44589</v>
      </c>
      <c r="E61" s="8">
        <v>3342</v>
      </c>
    </row>
    <row r="62" spans="1:5">
      <c r="A62" s="3" t="s">
        <v>42</v>
      </c>
      <c r="B62" s="3" t="s">
        <v>3</v>
      </c>
      <c r="C62" s="3" t="s">
        <v>47</v>
      </c>
      <c r="D62" s="5">
        <v>44589</v>
      </c>
      <c r="E62" s="8">
        <v>6912</v>
      </c>
    </row>
    <row r="63" spans="1:5">
      <c r="A63" s="3" t="s">
        <v>42</v>
      </c>
      <c r="B63" s="3" t="s">
        <v>3</v>
      </c>
      <c r="C63" s="3" t="s">
        <v>48</v>
      </c>
      <c r="D63" s="5">
        <v>44589</v>
      </c>
      <c r="E63" s="8">
        <v>6995</v>
      </c>
    </row>
    <row r="64" spans="1:5">
      <c r="A64" s="3" t="s">
        <v>42</v>
      </c>
      <c r="B64" s="3" t="s">
        <v>3</v>
      </c>
      <c r="C64" s="3" t="s">
        <v>49</v>
      </c>
      <c r="D64" s="5">
        <v>44589</v>
      </c>
      <c r="E64" s="8">
        <v>39500</v>
      </c>
    </row>
    <row r="65" spans="1:5">
      <c r="A65" s="3" t="s">
        <v>42</v>
      </c>
      <c r="B65" s="3" t="s">
        <v>7</v>
      </c>
      <c r="C65" s="3" t="s">
        <v>7</v>
      </c>
      <c r="D65" s="5">
        <v>44589</v>
      </c>
      <c r="E65" s="8">
        <v>391800</v>
      </c>
    </row>
    <row r="66" spans="1:5">
      <c r="A66" s="3" t="s">
        <v>42</v>
      </c>
      <c r="B66" s="3" t="s">
        <v>7</v>
      </c>
      <c r="C66" s="3" t="s">
        <v>50</v>
      </c>
      <c r="D66" s="5">
        <v>44589</v>
      </c>
      <c r="E66" s="8">
        <v>184800</v>
      </c>
    </row>
    <row r="67" spans="1:5">
      <c r="A67" s="3" t="s">
        <v>42</v>
      </c>
      <c r="B67" s="3" t="s">
        <v>7</v>
      </c>
      <c r="C67" s="3" t="s">
        <v>51</v>
      </c>
      <c r="D67" s="5">
        <v>44589</v>
      </c>
      <c r="E67" s="8">
        <v>141100</v>
      </c>
    </row>
    <row r="68" spans="1:5">
      <c r="A68" s="3" t="s">
        <v>42</v>
      </c>
      <c r="B68" s="3" t="s">
        <v>10</v>
      </c>
      <c r="C68" s="3" t="s">
        <v>10</v>
      </c>
      <c r="D68" s="5">
        <v>44589</v>
      </c>
      <c r="E68" s="8">
        <v>909400</v>
      </c>
    </row>
    <row r="69" spans="1:5">
      <c r="A69" s="3" t="s">
        <v>42</v>
      </c>
      <c r="B69" s="3" t="s">
        <v>10</v>
      </c>
      <c r="C69" s="3" t="s">
        <v>52</v>
      </c>
      <c r="D69" s="5">
        <v>44589</v>
      </c>
      <c r="E69" s="8">
        <v>38000</v>
      </c>
    </row>
    <row r="70" spans="1:5">
      <c r="A70" s="3" t="s">
        <v>42</v>
      </c>
      <c r="B70" s="3" t="s">
        <v>10</v>
      </c>
      <c r="C70" s="3" t="s">
        <v>53</v>
      </c>
      <c r="D70" s="5">
        <v>44589</v>
      </c>
      <c r="E70" s="8">
        <v>411900</v>
      </c>
    </row>
    <row r="71" spans="1:5">
      <c r="A71" s="3" t="s">
        <v>42</v>
      </c>
      <c r="B71" s="3" t="s">
        <v>13</v>
      </c>
      <c r="C71" s="3" t="s">
        <v>13</v>
      </c>
      <c r="D71" s="5">
        <v>44589</v>
      </c>
      <c r="E71" s="8">
        <v>332500</v>
      </c>
    </row>
    <row r="72" spans="1:5">
      <c r="A72" s="3" t="s">
        <v>42</v>
      </c>
      <c r="B72" s="3" t="s">
        <v>13</v>
      </c>
      <c r="C72" s="3" t="s">
        <v>54</v>
      </c>
      <c r="D72" s="5">
        <v>44589</v>
      </c>
      <c r="E72" s="8">
        <v>69100</v>
      </c>
    </row>
    <row r="73" spans="1:5">
      <c r="A73" s="3" t="s">
        <v>42</v>
      </c>
      <c r="B73" s="3" t="s">
        <v>13</v>
      </c>
      <c r="C73" s="3" t="s">
        <v>55</v>
      </c>
      <c r="D73" s="5">
        <v>44589</v>
      </c>
      <c r="E73" s="8" t="s">
        <v>75</v>
      </c>
    </row>
    <row r="74" spans="1:5">
      <c r="A74" s="3" t="s">
        <v>42</v>
      </c>
      <c r="B74" s="3" t="s">
        <v>13</v>
      </c>
      <c r="C74" s="3" t="s">
        <v>56</v>
      </c>
      <c r="D74" s="5">
        <v>44589</v>
      </c>
      <c r="E74" s="8">
        <v>21900</v>
      </c>
    </row>
    <row r="75" spans="1:5">
      <c r="A75" s="3" t="s">
        <v>42</v>
      </c>
      <c r="B75" s="3" t="s">
        <v>13</v>
      </c>
      <c r="C75" s="3" t="s">
        <v>57</v>
      </c>
      <c r="D75" s="5">
        <v>44589</v>
      </c>
      <c r="E75" s="8" t="s">
        <v>75</v>
      </c>
    </row>
    <row r="76" spans="1:5">
      <c r="A76" s="3" t="s">
        <v>42</v>
      </c>
      <c r="B76" s="3" t="s">
        <v>16</v>
      </c>
      <c r="C76" s="3" t="s">
        <v>58</v>
      </c>
      <c r="D76" s="5">
        <v>44589</v>
      </c>
      <c r="E76" s="8">
        <v>37500</v>
      </c>
    </row>
    <row r="77" spans="1:5">
      <c r="A77" s="3" t="s">
        <v>42</v>
      </c>
      <c r="B77" s="3" t="s">
        <v>16</v>
      </c>
      <c r="C77" s="3" t="s">
        <v>59</v>
      </c>
      <c r="D77" s="5">
        <v>44589</v>
      </c>
      <c r="E77" s="8">
        <v>43500</v>
      </c>
    </row>
    <row r="78" spans="1:5">
      <c r="A78" s="3" t="s">
        <v>42</v>
      </c>
      <c r="B78" s="3" t="s">
        <v>16</v>
      </c>
      <c r="C78" s="3" t="s">
        <v>60</v>
      </c>
      <c r="D78" s="5">
        <v>44589</v>
      </c>
      <c r="E78" s="8">
        <v>26300</v>
      </c>
    </row>
    <row r="79" spans="1:5">
      <c r="A79" s="3" t="s">
        <v>42</v>
      </c>
      <c r="B79" s="3" t="s">
        <v>17</v>
      </c>
      <c r="C79" s="3" t="s">
        <v>17</v>
      </c>
      <c r="D79" s="5">
        <v>44589</v>
      </c>
      <c r="E79" s="8">
        <v>24300</v>
      </c>
    </row>
    <row r="80" spans="1:5">
      <c r="A80" s="3" t="s">
        <v>42</v>
      </c>
      <c r="B80" s="3" t="s">
        <v>17</v>
      </c>
      <c r="C80" s="3" t="s">
        <v>61</v>
      </c>
      <c r="D80" s="5">
        <v>44589</v>
      </c>
      <c r="E80" s="8">
        <v>12500</v>
      </c>
    </row>
    <row r="81" spans="1:19">
      <c r="A81" s="3" t="s">
        <v>42</v>
      </c>
      <c r="B81" s="3" t="s">
        <v>18</v>
      </c>
      <c r="C81" s="3" t="s">
        <v>18</v>
      </c>
      <c r="D81" s="5">
        <v>44589</v>
      </c>
      <c r="E81" s="8">
        <v>43700</v>
      </c>
    </row>
    <row r="82" spans="1:19">
      <c r="A82" s="3" t="s">
        <v>42</v>
      </c>
      <c r="B82" s="3" t="s">
        <v>18</v>
      </c>
      <c r="C82" s="3" t="s">
        <v>62</v>
      </c>
      <c r="D82" s="5">
        <v>44589</v>
      </c>
      <c r="E82" s="8">
        <v>12700</v>
      </c>
    </row>
    <row r="83" spans="1:19">
      <c r="A83" s="3" t="s">
        <v>42</v>
      </c>
      <c r="B83" s="3" t="s">
        <v>18</v>
      </c>
      <c r="C83" s="3" t="s">
        <v>63</v>
      </c>
      <c r="D83" s="5">
        <v>44589</v>
      </c>
      <c r="E83" s="8">
        <v>972</v>
      </c>
    </row>
    <row r="84" spans="1:19">
      <c r="A84" s="3" t="s">
        <v>79</v>
      </c>
      <c r="B84" s="3" t="s">
        <v>2</v>
      </c>
      <c r="C84" s="3" t="s">
        <v>64</v>
      </c>
      <c r="D84" s="5">
        <v>44589</v>
      </c>
      <c r="E84" s="8">
        <v>18500</v>
      </c>
    </row>
    <row r="85" spans="1:19">
      <c r="A85" s="3" t="s">
        <v>79</v>
      </c>
      <c r="B85" s="3" t="s">
        <v>3</v>
      </c>
      <c r="C85" s="3" t="s">
        <v>65</v>
      </c>
      <c r="D85" s="5">
        <v>44589</v>
      </c>
      <c r="E85" s="8">
        <v>98500</v>
      </c>
    </row>
    <row r="86" spans="1:19">
      <c r="A86" s="3" t="s">
        <v>79</v>
      </c>
      <c r="B86" s="3" t="s">
        <v>3</v>
      </c>
      <c r="C86" s="3" t="s">
        <v>66</v>
      </c>
      <c r="D86" s="5">
        <v>44589</v>
      </c>
      <c r="E86" s="8">
        <v>6440</v>
      </c>
    </row>
    <row r="87" spans="1:19">
      <c r="A87" s="3" t="s">
        <v>79</v>
      </c>
      <c r="B87" s="3" t="s">
        <v>3</v>
      </c>
      <c r="C87" s="3" t="s">
        <v>67</v>
      </c>
      <c r="D87" s="5">
        <v>44589</v>
      </c>
      <c r="E87" s="8">
        <v>7685</v>
      </c>
    </row>
    <row r="88" spans="1:19">
      <c r="A88" s="3" t="s">
        <v>79</v>
      </c>
      <c r="B88" s="3" t="s">
        <v>3</v>
      </c>
      <c r="C88" s="3" t="s">
        <v>68</v>
      </c>
      <c r="D88" s="5">
        <v>44589</v>
      </c>
      <c r="E88" s="8">
        <v>13600</v>
      </c>
    </row>
    <row r="89" spans="1:19">
      <c r="A89" s="3" t="s">
        <v>79</v>
      </c>
      <c r="B89" s="3" t="s">
        <v>7</v>
      </c>
      <c r="C89" s="3" t="s">
        <v>69</v>
      </c>
      <c r="D89" s="5">
        <v>44589</v>
      </c>
      <c r="E89" s="8">
        <v>21700</v>
      </c>
      <c r="S89" s="7">
        <v>3307</v>
      </c>
    </row>
    <row r="90" spans="1:19">
      <c r="A90" s="3" t="s">
        <v>79</v>
      </c>
      <c r="B90" s="3" t="s">
        <v>10</v>
      </c>
      <c r="C90" s="3" t="s">
        <v>53</v>
      </c>
      <c r="D90" s="5">
        <v>44589</v>
      </c>
      <c r="E90" s="8">
        <v>77400</v>
      </c>
    </row>
    <row r="91" spans="1:19">
      <c r="A91" s="3" t="s">
        <v>79</v>
      </c>
      <c r="B91" s="3" t="s">
        <v>10</v>
      </c>
      <c r="C91" s="3" t="s">
        <v>10</v>
      </c>
      <c r="D91" s="5">
        <v>44589</v>
      </c>
      <c r="E91" s="8">
        <v>79100</v>
      </c>
    </row>
    <row r="92" spans="1:19">
      <c r="A92" s="3" t="s">
        <v>79</v>
      </c>
      <c r="B92" s="3" t="s">
        <v>13</v>
      </c>
      <c r="C92" s="3" t="s">
        <v>70</v>
      </c>
      <c r="D92" s="5">
        <v>44589</v>
      </c>
      <c r="E92" s="8">
        <v>11000</v>
      </c>
    </row>
    <row r="93" spans="1:19">
      <c r="A93" s="3" t="s">
        <v>79</v>
      </c>
      <c r="B93" s="3" t="s">
        <v>16</v>
      </c>
      <c r="C93" s="3" t="s">
        <v>16</v>
      </c>
      <c r="D93" s="5">
        <v>44589</v>
      </c>
      <c r="E93" s="8">
        <v>21800</v>
      </c>
    </row>
    <row r="94" spans="1:19" ht="14.5" customHeight="1">
      <c r="A94" s="3" t="s">
        <v>79</v>
      </c>
      <c r="B94" s="3" t="s">
        <v>17</v>
      </c>
      <c r="C94" s="3" t="s">
        <v>71</v>
      </c>
      <c r="D94" s="5">
        <v>44589</v>
      </c>
      <c r="E94" s="8">
        <v>13100</v>
      </c>
    </row>
    <row r="95" spans="1:19">
      <c r="A95" s="3" t="s">
        <v>79</v>
      </c>
      <c r="B95" s="3" t="s">
        <v>18</v>
      </c>
      <c r="C95" s="3" t="s">
        <v>72</v>
      </c>
      <c r="D95" s="5">
        <v>44589</v>
      </c>
      <c r="E95" s="8">
        <v>29200</v>
      </c>
    </row>
    <row r="96" spans="1:19">
      <c r="A96" s="3" t="s">
        <v>1</v>
      </c>
      <c r="B96" s="3" t="s">
        <v>2</v>
      </c>
      <c r="C96" s="3" t="s">
        <v>2</v>
      </c>
      <c r="D96" s="5">
        <v>44617</v>
      </c>
      <c r="E96" s="8">
        <v>2778738</v>
      </c>
    </row>
    <row r="97" spans="1:5">
      <c r="A97" s="3" t="s">
        <v>1</v>
      </c>
      <c r="B97" s="3" t="s">
        <v>3</v>
      </c>
      <c r="C97" s="3" t="s">
        <v>3</v>
      </c>
      <c r="D97" s="5">
        <v>44617</v>
      </c>
      <c r="E97" s="8">
        <v>3950941</v>
      </c>
    </row>
    <row r="98" spans="1:5">
      <c r="A98" s="3" t="s">
        <v>1</v>
      </c>
      <c r="B98" s="3" t="s">
        <v>3</v>
      </c>
      <c r="C98" s="3" t="s">
        <v>4</v>
      </c>
      <c r="D98" s="5">
        <v>44617</v>
      </c>
      <c r="E98" s="8">
        <v>96726</v>
      </c>
    </row>
    <row r="99" spans="1:5">
      <c r="A99" s="3" t="s">
        <v>1</v>
      </c>
      <c r="B99" s="3" t="s">
        <v>3</v>
      </c>
      <c r="C99" s="3" t="s">
        <v>5</v>
      </c>
      <c r="D99" s="5">
        <v>44617</v>
      </c>
      <c r="E99" s="8">
        <v>14799</v>
      </c>
    </row>
    <row r="100" spans="1:5">
      <c r="A100" s="3" t="s">
        <v>1</v>
      </c>
      <c r="B100" s="3" t="s">
        <v>3</v>
      </c>
      <c r="C100" s="3" t="s">
        <v>6</v>
      </c>
      <c r="D100" s="5">
        <v>44617</v>
      </c>
      <c r="E100" s="8">
        <v>159863</v>
      </c>
    </row>
    <row r="101" spans="1:5">
      <c r="A101" s="3" t="s">
        <v>1</v>
      </c>
      <c r="B101" s="3" t="s">
        <v>7</v>
      </c>
      <c r="C101" s="3" t="s">
        <v>7</v>
      </c>
      <c r="D101" s="5">
        <v>44617</v>
      </c>
      <c r="E101" s="8">
        <v>3700796</v>
      </c>
    </row>
    <row r="102" spans="1:5">
      <c r="A102" s="3" t="s">
        <v>1</v>
      </c>
      <c r="B102" s="3" t="s">
        <v>7</v>
      </c>
      <c r="C102" s="3" t="s">
        <v>8</v>
      </c>
      <c r="D102" s="5">
        <v>44617</v>
      </c>
      <c r="E102" s="8">
        <v>402700</v>
      </c>
    </row>
    <row r="103" spans="1:5">
      <c r="A103" s="3" t="s">
        <v>1</v>
      </c>
      <c r="B103" s="3" t="s">
        <v>7</v>
      </c>
      <c r="C103" s="3" t="s">
        <v>9</v>
      </c>
      <c r="D103" s="5">
        <v>44617</v>
      </c>
      <c r="E103" s="8">
        <v>212284</v>
      </c>
    </row>
    <row r="104" spans="1:5">
      <c r="A104" s="3" t="s">
        <v>1</v>
      </c>
      <c r="B104" s="3" t="s">
        <v>10</v>
      </c>
      <c r="C104" s="3" t="s">
        <v>10</v>
      </c>
      <c r="D104" s="5">
        <v>44617</v>
      </c>
      <c r="E104" s="8">
        <v>1200821</v>
      </c>
    </row>
    <row r="105" spans="1:5">
      <c r="A105" s="3" t="s">
        <v>1</v>
      </c>
      <c r="B105" s="3" t="s">
        <v>10</v>
      </c>
      <c r="C105" s="3" t="s">
        <v>11</v>
      </c>
      <c r="D105" s="5">
        <v>44617</v>
      </c>
      <c r="E105" s="8">
        <v>1144064</v>
      </c>
    </row>
    <row r="106" spans="1:5">
      <c r="A106" s="3" t="s">
        <v>1</v>
      </c>
      <c r="B106" s="3" t="s">
        <v>10</v>
      </c>
      <c r="C106" s="3" t="s">
        <v>12</v>
      </c>
      <c r="D106" s="5">
        <v>44617</v>
      </c>
      <c r="E106" s="8">
        <v>215186</v>
      </c>
    </row>
    <row r="107" spans="1:5">
      <c r="A107" s="3" t="s">
        <v>1</v>
      </c>
      <c r="B107" s="3" t="s">
        <v>13</v>
      </c>
      <c r="C107" s="3" t="s">
        <v>13</v>
      </c>
      <c r="D107" s="5">
        <v>44617</v>
      </c>
      <c r="E107" s="8">
        <v>1143100</v>
      </c>
    </row>
    <row r="108" spans="1:5">
      <c r="A108" s="3" t="s">
        <v>1</v>
      </c>
      <c r="B108" s="3" t="s">
        <v>13</v>
      </c>
      <c r="C108" s="3" t="s">
        <v>14</v>
      </c>
      <c r="D108" s="5">
        <v>44617</v>
      </c>
      <c r="E108" s="43">
        <v>192329</v>
      </c>
    </row>
    <row r="109" spans="1:5">
      <c r="A109" s="3" t="s">
        <v>1</v>
      </c>
      <c r="B109" s="3" t="s">
        <v>13</v>
      </c>
      <c r="C109" s="3" t="s">
        <v>15</v>
      </c>
      <c r="D109" s="5">
        <v>44617</v>
      </c>
      <c r="E109" s="8">
        <v>1053</v>
      </c>
    </row>
    <row r="110" spans="1:5">
      <c r="A110" s="3" t="s">
        <v>1</v>
      </c>
      <c r="B110" s="3" t="s">
        <v>16</v>
      </c>
      <c r="C110" s="3" t="s">
        <v>16</v>
      </c>
      <c r="D110" s="5">
        <v>44617</v>
      </c>
      <c r="E110" s="8">
        <v>339697</v>
      </c>
    </row>
    <row r="111" spans="1:5">
      <c r="A111" s="3" t="s">
        <v>1</v>
      </c>
      <c r="B111" s="3" t="s">
        <v>17</v>
      </c>
      <c r="C111" s="3" t="s">
        <v>17</v>
      </c>
      <c r="D111" s="5">
        <v>44617</v>
      </c>
      <c r="E111" s="8">
        <v>125124</v>
      </c>
    </row>
    <row r="112" spans="1:5">
      <c r="A112" s="3" t="s">
        <v>1</v>
      </c>
      <c r="B112" s="3" t="s">
        <v>18</v>
      </c>
      <c r="C112" s="3" t="s">
        <v>19</v>
      </c>
      <c r="D112" s="5">
        <v>44617</v>
      </c>
      <c r="E112" s="8">
        <v>326976</v>
      </c>
    </row>
    <row r="113" spans="1:5">
      <c r="A113" s="3" t="s">
        <v>20</v>
      </c>
      <c r="B113" s="3" t="s">
        <v>2</v>
      </c>
      <c r="C113" s="3" t="s">
        <v>2</v>
      </c>
      <c r="D113" s="5">
        <v>44617</v>
      </c>
      <c r="E113" s="8">
        <v>2058767</v>
      </c>
    </row>
    <row r="114" spans="1:5">
      <c r="A114" s="3" t="s">
        <v>20</v>
      </c>
      <c r="B114" s="3" t="s">
        <v>2</v>
      </c>
      <c r="C114" s="3" t="s">
        <v>21</v>
      </c>
      <c r="D114" s="5">
        <v>44617</v>
      </c>
      <c r="E114" s="8">
        <v>338145</v>
      </c>
    </row>
    <row r="115" spans="1:5">
      <c r="A115" s="3" t="s">
        <v>20</v>
      </c>
      <c r="B115" s="3" t="s">
        <v>2</v>
      </c>
      <c r="C115" s="3" t="s">
        <v>22</v>
      </c>
      <c r="D115" s="5">
        <v>44617</v>
      </c>
      <c r="E115" s="8">
        <v>291985</v>
      </c>
    </row>
    <row r="116" spans="1:5">
      <c r="A116" s="3" t="s">
        <v>20</v>
      </c>
      <c r="B116" s="3" t="s">
        <v>2</v>
      </c>
      <c r="C116" s="3" t="s">
        <v>23</v>
      </c>
      <c r="D116" s="5">
        <v>44617</v>
      </c>
      <c r="E116" s="8">
        <v>628422</v>
      </c>
    </row>
    <row r="117" spans="1:5">
      <c r="A117" s="3" t="s">
        <v>20</v>
      </c>
      <c r="B117" s="3" t="s">
        <v>2</v>
      </c>
      <c r="C117" s="3" t="s">
        <v>24</v>
      </c>
      <c r="D117" s="5">
        <v>44617</v>
      </c>
      <c r="E117" s="8">
        <v>19074</v>
      </c>
    </row>
    <row r="118" spans="1:5">
      <c r="A118" s="3" t="s">
        <v>20</v>
      </c>
      <c r="B118" s="3" t="s">
        <v>3</v>
      </c>
      <c r="C118" s="3" t="s">
        <v>3</v>
      </c>
      <c r="D118" s="5">
        <v>44617</v>
      </c>
      <c r="E118" s="8">
        <v>536978</v>
      </c>
    </row>
    <row r="119" spans="1:5">
      <c r="A119" s="3" t="s">
        <v>20</v>
      </c>
      <c r="B119" s="3" t="s">
        <v>3</v>
      </c>
      <c r="C119" s="3" t="s">
        <v>25</v>
      </c>
      <c r="D119" s="5">
        <v>44617</v>
      </c>
      <c r="E119" s="8">
        <v>29107</v>
      </c>
    </row>
    <row r="120" spans="1:5">
      <c r="A120" s="3" t="s">
        <v>20</v>
      </c>
      <c r="B120" s="3" t="s">
        <v>7</v>
      </c>
      <c r="C120" s="3" t="s">
        <v>7</v>
      </c>
      <c r="D120" s="5">
        <v>44617</v>
      </c>
      <c r="E120" s="8">
        <v>340831</v>
      </c>
    </row>
    <row r="121" spans="1:5">
      <c r="A121" s="3" t="s">
        <v>20</v>
      </c>
      <c r="B121" s="3" t="s">
        <v>7</v>
      </c>
      <c r="C121" s="3" t="s">
        <v>8</v>
      </c>
      <c r="D121" s="5">
        <v>44617</v>
      </c>
      <c r="E121" s="8">
        <v>2935264</v>
      </c>
    </row>
    <row r="122" spans="1:5">
      <c r="A122" s="3" t="s">
        <v>20</v>
      </c>
      <c r="B122" s="3" t="s">
        <v>7</v>
      </c>
      <c r="C122" s="3" t="s">
        <v>26</v>
      </c>
      <c r="D122" s="5">
        <v>44617</v>
      </c>
      <c r="E122" s="8">
        <v>36886</v>
      </c>
    </row>
    <row r="123" spans="1:5">
      <c r="A123" s="3" t="s">
        <v>20</v>
      </c>
      <c r="B123" s="3" t="s">
        <v>10</v>
      </c>
      <c r="C123" s="3" t="s">
        <v>10</v>
      </c>
      <c r="D123" s="5">
        <v>44617</v>
      </c>
      <c r="E123" s="8">
        <v>3578795</v>
      </c>
    </row>
    <row r="124" spans="1:5">
      <c r="A124" s="3" t="s">
        <v>20</v>
      </c>
      <c r="B124" s="3" t="s">
        <v>10</v>
      </c>
      <c r="C124" s="3" t="s">
        <v>27</v>
      </c>
      <c r="D124" s="5">
        <v>44617</v>
      </c>
      <c r="E124" s="8">
        <v>13149</v>
      </c>
    </row>
    <row r="125" spans="1:5">
      <c r="A125" s="3" t="s">
        <v>20</v>
      </c>
      <c r="B125" s="3" t="s">
        <v>10</v>
      </c>
      <c r="C125" s="3" t="s">
        <v>82</v>
      </c>
      <c r="D125" s="5">
        <v>44617</v>
      </c>
      <c r="E125" s="8">
        <v>45995</v>
      </c>
    </row>
    <row r="126" spans="1:5">
      <c r="A126" s="3" t="s">
        <v>20</v>
      </c>
      <c r="B126" s="3" t="s">
        <v>13</v>
      </c>
      <c r="C126" s="3" t="s">
        <v>13</v>
      </c>
      <c r="D126" s="5">
        <v>44617</v>
      </c>
      <c r="E126" s="8">
        <v>1759138</v>
      </c>
    </row>
    <row r="127" spans="1:5">
      <c r="A127" s="3" t="s">
        <v>20</v>
      </c>
      <c r="B127" s="3" t="s">
        <v>13</v>
      </c>
      <c r="C127" s="3" t="s">
        <v>81</v>
      </c>
      <c r="D127" s="5">
        <v>44617</v>
      </c>
      <c r="E127" s="8">
        <v>95545</v>
      </c>
    </row>
    <row r="128" spans="1:5">
      <c r="A128" s="3" t="s">
        <v>20</v>
      </c>
      <c r="B128" s="3" t="s">
        <v>13</v>
      </c>
      <c r="C128" s="3" t="s">
        <v>28</v>
      </c>
      <c r="D128" s="5">
        <v>44617</v>
      </c>
      <c r="E128" s="8" t="s">
        <v>75</v>
      </c>
    </row>
    <row r="129" spans="1:5">
      <c r="A129" s="3" t="s">
        <v>20</v>
      </c>
      <c r="B129" s="3" t="s">
        <v>16</v>
      </c>
      <c r="C129" s="3" t="s">
        <v>16</v>
      </c>
      <c r="D129" s="5">
        <v>44617</v>
      </c>
      <c r="E129" s="8">
        <v>227360</v>
      </c>
    </row>
    <row r="130" spans="1:5">
      <c r="A130" s="3" t="s">
        <v>20</v>
      </c>
      <c r="B130" s="3" t="s">
        <v>16</v>
      </c>
      <c r="C130" s="3" t="s">
        <v>29</v>
      </c>
      <c r="D130" s="5">
        <v>44617</v>
      </c>
      <c r="E130" s="8">
        <v>13235</v>
      </c>
    </row>
    <row r="131" spans="1:5">
      <c r="A131" s="3" t="s">
        <v>20</v>
      </c>
      <c r="B131" s="3" t="s">
        <v>16</v>
      </c>
      <c r="C131" s="3" t="s">
        <v>30</v>
      </c>
      <c r="D131" s="5">
        <v>44617</v>
      </c>
      <c r="E131" s="8" t="s">
        <v>75</v>
      </c>
    </row>
    <row r="132" spans="1:5">
      <c r="A132" s="3" t="s">
        <v>20</v>
      </c>
      <c r="B132" s="3" t="s">
        <v>16</v>
      </c>
      <c r="C132" s="3" t="s">
        <v>31</v>
      </c>
      <c r="D132" s="5">
        <v>44617</v>
      </c>
      <c r="E132" s="8">
        <v>6930</v>
      </c>
    </row>
    <row r="133" spans="1:5">
      <c r="A133" s="3" t="s">
        <v>20</v>
      </c>
      <c r="B133" s="3" t="s">
        <v>16</v>
      </c>
      <c r="C133" s="3" t="s">
        <v>32</v>
      </c>
      <c r="D133" s="5">
        <v>44617</v>
      </c>
      <c r="E133" s="8">
        <v>6856</v>
      </c>
    </row>
    <row r="134" spans="1:5">
      <c r="A134" s="3" t="s">
        <v>20</v>
      </c>
      <c r="B134" s="3" t="s">
        <v>16</v>
      </c>
      <c r="C134" s="3" t="s">
        <v>33</v>
      </c>
      <c r="D134" s="5">
        <v>44617</v>
      </c>
      <c r="E134" s="8" t="s">
        <v>75</v>
      </c>
    </row>
    <row r="135" spans="1:5">
      <c r="A135" s="3" t="s">
        <v>20</v>
      </c>
      <c r="B135" s="3" t="s">
        <v>17</v>
      </c>
      <c r="C135" s="3" t="s">
        <v>17</v>
      </c>
      <c r="D135" s="5">
        <v>44617</v>
      </c>
      <c r="E135" s="8">
        <v>121134</v>
      </c>
    </row>
    <row r="136" spans="1:5">
      <c r="A136" s="3" t="s">
        <v>20</v>
      </c>
      <c r="B136" s="3" t="s">
        <v>17</v>
      </c>
      <c r="C136" s="3" t="s">
        <v>34</v>
      </c>
      <c r="D136" s="5">
        <v>44617</v>
      </c>
      <c r="E136" s="8">
        <v>12049</v>
      </c>
    </row>
    <row r="137" spans="1:5">
      <c r="A137" s="3" t="s">
        <v>20</v>
      </c>
      <c r="B137" s="3" t="s">
        <v>17</v>
      </c>
      <c r="C137" s="3" t="s">
        <v>35</v>
      </c>
      <c r="D137" s="5">
        <v>44617</v>
      </c>
      <c r="E137" s="8">
        <v>5121</v>
      </c>
    </row>
    <row r="138" spans="1:5">
      <c r="A138" s="3" t="s">
        <v>20</v>
      </c>
      <c r="B138" s="3" t="s">
        <v>17</v>
      </c>
      <c r="C138" s="3" t="s">
        <v>36</v>
      </c>
      <c r="D138" s="5">
        <v>44617</v>
      </c>
      <c r="E138" s="8">
        <v>924</v>
      </c>
    </row>
    <row r="139" spans="1:5">
      <c r="A139" s="3" t="s">
        <v>20</v>
      </c>
      <c r="B139" s="3" t="s">
        <v>17</v>
      </c>
      <c r="C139" s="3" t="s">
        <v>37</v>
      </c>
      <c r="D139" s="5">
        <v>44617</v>
      </c>
      <c r="E139" s="8" t="s">
        <v>75</v>
      </c>
    </row>
    <row r="140" spans="1:5">
      <c r="A140" s="3" t="s">
        <v>20</v>
      </c>
      <c r="B140" s="3" t="s">
        <v>18</v>
      </c>
      <c r="C140" s="3" t="s">
        <v>19</v>
      </c>
      <c r="D140" s="5">
        <v>44617</v>
      </c>
      <c r="E140" s="8">
        <v>351513</v>
      </c>
    </row>
    <row r="141" spans="1:5">
      <c r="A141" s="3" t="s">
        <v>20</v>
      </c>
      <c r="B141" s="3" t="s">
        <v>18</v>
      </c>
      <c r="C141" s="3" t="s">
        <v>38</v>
      </c>
      <c r="D141" s="5">
        <v>44617</v>
      </c>
      <c r="E141" s="8" t="s">
        <v>75</v>
      </c>
    </row>
    <row r="142" spans="1:5">
      <c r="A142" s="3" t="s">
        <v>20</v>
      </c>
      <c r="B142" s="3" t="s">
        <v>18</v>
      </c>
      <c r="C142" s="3" t="s">
        <v>39</v>
      </c>
      <c r="D142" s="5">
        <v>44617</v>
      </c>
      <c r="E142" s="8" t="s">
        <v>75</v>
      </c>
    </row>
    <row r="143" spans="1:5">
      <c r="A143" s="3" t="s">
        <v>20</v>
      </c>
      <c r="B143" s="3" t="s">
        <v>18</v>
      </c>
      <c r="C143" s="3" t="s">
        <v>40</v>
      </c>
      <c r="D143" s="5">
        <v>44617</v>
      </c>
      <c r="E143" s="8" t="s">
        <v>75</v>
      </c>
    </row>
    <row r="144" spans="1:5">
      <c r="A144" s="3" t="s">
        <v>20</v>
      </c>
      <c r="B144" s="3" t="s">
        <v>18</v>
      </c>
      <c r="C144" s="3" t="s">
        <v>73</v>
      </c>
      <c r="D144" s="5">
        <v>44617</v>
      </c>
      <c r="E144" s="8" t="s">
        <v>75</v>
      </c>
    </row>
    <row r="145" spans="1:5">
      <c r="A145" s="3" t="s">
        <v>20</v>
      </c>
      <c r="B145" s="3" t="s">
        <v>18</v>
      </c>
      <c r="C145" s="3" t="s">
        <v>41</v>
      </c>
      <c r="D145" s="5">
        <v>44617</v>
      </c>
      <c r="E145" s="8" t="s">
        <v>75</v>
      </c>
    </row>
    <row r="146" spans="1:5">
      <c r="A146" s="3" t="s">
        <v>42</v>
      </c>
      <c r="B146" s="3" t="s">
        <v>2</v>
      </c>
      <c r="C146" s="3" t="s">
        <v>2</v>
      </c>
      <c r="D146" s="5">
        <v>44617</v>
      </c>
      <c r="E146" s="8">
        <v>747500</v>
      </c>
    </row>
    <row r="147" spans="1:5">
      <c r="A147" s="3" t="s">
        <v>42</v>
      </c>
      <c r="B147" s="3" t="s">
        <v>2</v>
      </c>
      <c r="C147" s="3" t="s">
        <v>43</v>
      </c>
      <c r="D147" s="5">
        <v>44617</v>
      </c>
      <c r="E147" s="8">
        <v>501500</v>
      </c>
    </row>
    <row r="148" spans="1:5">
      <c r="A148" s="3" t="s">
        <v>42</v>
      </c>
      <c r="B148" s="3" t="s">
        <v>2</v>
      </c>
      <c r="C148" s="3" t="s">
        <v>83</v>
      </c>
      <c r="D148" s="5">
        <v>44617</v>
      </c>
      <c r="E148" s="8">
        <v>129100</v>
      </c>
    </row>
    <row r="149" spans="1:5">
      <c r="A149" s="3" t="s">
        <v>42</v>
      </c>
      <c r="B149" s="3" t="s">
        <v>2</v>
      </c>
      <c r="C149" s="3" t="s">
        <v>44</v>
      </c>
      <c r="D149" s="5">
        <v>44617</v>
      </c>
      <c r="E149" s="8">
        <v>135600</v>
      </c>
    </row>
    <row r="150" spans="1:5">
      <c r="A150" s="3" t="s">
        <v>42</v>
      </c>
      <c r="B150" s="3" t="s">
        <v>2</v>
      </c>
      <c r="C150" s="3" t="s">
        <v>45</v>
      </c>
      <c r="D150" s="5">
        <v>44617</v>
      </c>
      <c r="E150" s="8">
        <v>158100</v>
      </c>
    </row>
    <row r="151" spans="1:5">
      <c r="A151" s="3" t="s">
        <v>42</v>
      </c>
      <c r="B151" s="3" t="s">
        <v>2</v>
      </c>
      <c r="C151" s="3" t="s">
        <v>80</v>
      </c>
      <c r="D151" s="5">
        <v>44617</v>
      </c>
      <c r="E151" s="8">
        <v>17200</v>
      </c>
    </row>
    <row r="152" spans="1:5">
      <c r="A152" s="3" t="s">
        <v>42</v>
      </c>
      <c r="B152" s="3" t="s">
        <v>3</v>
      </c>
      <c r="C152" s="3" t="s">
        <v>3</v>
      </c>
      <c r="D152" s="5">
        <v>44617</v>
      </c>
      <c r="E152" s="8">
        <v>203400</v>
      </c>
    </row>
    <row r="153" spans="1:5">
      <c r="A153" s="3" t="s">
        <v>42</v>
      </c>
      <c r="B153" s="3" t="s">
        <v>3</v>
      </c>
      <c r="C153" s="3" t="s">
        <v>46</v>
      </c>
      <c r="D153" s="5">
        <v>44617</v>
      </c>
      <c r="E153" s="8">
        <v>116100</v>
      </c>
    </row>
    <row r="154" spans="1:5">
      <c r="A154" s="3" t="s">
        <v>42</v>
      </c>
      <c r="B154" s="3" t="s">
        <v>3</v>
      </c>
      <c r="C154" s="3" t="s">
        <v>4</v>
      </c>
      <c r="D154" s="5">
        <v>44617</v>
      </c>
      <c r="E154" s="8">
        <v>47800</v>
      </c>
    </row>
    <row r="155" spans="1:5">
      <c r="A155" s="3" t="s">
        <v>42</v>
      </c>
      <c r="B155" s="3" t="s">
        <v>3</v>
      </c>
      <c r="C155" s="3" t="s">
        <v>5</v>
      </c>
      <c r="D155" s="5">
        <v>44617</v>
      </c>
      <c r="E155" s="8">
        <v>3345</v>
      </c>
    </row>
    <row r="156" spans="1:5">
      <c r="A156" s="3" t="s">
        <v>42</v>
      </c>
      <c r="B156" s="3" t="s">
        <v>3</v>
      </c>
      <c r="C156" s="3" t="s">
        <v>47</v>
      </c>
      <c r="D156" s="5">
        <v>44617</v>
      </c>
      <c r="E156" s="8">
        <v>6911</v>
      </c>
    </row>
    <row r="157" spans="1:5">
      <c r="A157" s="3" t="s">
        <v>42</v>
      </c>
      <c r="B157" s="3" t="s">
        <v>3</v>
      </c>
      <c r="C157" s="3" t="s">
        <v>48</v>
      </c>
      <c r="D157" s="5">
        <v>44617</v>
      </c>
      <c r="E157" s="8">
        <v>6991</v>
      </c>
    </row>
    <row r="158" spans="1:5">
      <c r="A158" s="3" t="s">
        <v>42</v>
      </c>
      <c r="B158" s="3" t="s">
        <v>3</v>
      </c>
      <c r="C158" s="3" t="s">
        <v>49</v>
      </c>
      <c r="D158" s="5">
        <v>44617</v>
      </c>
      <c r="E158" s="8">
        <v>39500</v>
      </c>
    </row>
    <row r="159" spans="1:5">
      <c r="A159" s="3" t="s">
        <v>42</v>
      </c>
      <c r="B159" s="3" t="s">
        <v>7</v>
      </c>
      <c r="C159" s="3" t="s">
        <v>7</v>
      </c>
      <c r="D159" s="5">
        <v>44617</v>
      </c>
      <c r="E159" s="8">
        <v>393100</v>
      </c>
    </row>
    <row r="160" spans="1:5">
      <c r="A160" s="3" t="s">
        <v>42</v>
      </c>
      <c r="B160" s="3" t="s">
        <v>7</v>
      </c>
      <c r="C160" s="3" t="s">
        <v>50</v>
      </c>
      <c r="D160" s="5">
        <v>44617</v>
      </c>
      <c r="E160" s="8">
        <v>184600</v>
      </c>
    </row>
    <row r="161" spans="1:5">
      <c r="A161" s="3" t="s">
        <v>42</v>
      </c>
      <c r="B161" s="3" t="s">
        <v>7</v>
      </c>
      <c r="C161" s="3" t="s">
        <v>51</v>
      </c>
      <c r="D161" s="5">
        <v>44617</v>
      </c>
      <c r="E161" s="8">
        <v>141700</v>
      </c>
    </row>
    <row r="162" spans="1:5">
      <c r="A162" s="3" t="s">
        <v>42</v>
      </c>
      <c r="B162" s="3" t="s">
        <v>10</v>
      </c>
      <c r="C162" s="3" t="s">
        <v>10</v>
      </c>
      <c r="D162" s="5">
        <v>44617</v>
      </c>
      <c r="E162" s="8">
        <v>910700</v>
      </c>
    </row>
    <row r="163" spans="1:5">
      <c r="A163" s="3" t="s">
        <v>42</v>
      </c>
      <c r="B163" s="3" t="s">
        <v>10</v>
      </c>
      <c r="C163" s="3" t="s">
        <v>52</v>
      </c>
      <c r="D163" s="5">
        <v>44617</v>
      </c>
      <c r="E163" s="8">
        <v>38000</v>
      </c>
    </row>
    <row r="164" spans="1:5">
      <c r="A164" s="3" t="s">
        <v>42</v>
      </c>
      <c r="B164" s="3" t="s">
        <v>10</v>
      </c>
      <c r="C164" s="3" t="s">
        <v>53</v>
      </c>
      <c r="D164" s="5">
        <v>44617</v>
      </c>
      <c r="E164" s="8">
        <v>413500</v>
      </c>
    </row>
    <row r="165" spans="1:5">
      <c r="A165" s="3" t="s">
        <v>42</v>
      </c>
      <c r="B165" s="3" t="s">
        <v>13</v>
      </c>
      <c r="C165" s="3" t="s">
        <v>13</v>
      </c>
      <c r="D165" s="5">
        <v>44617</v>
      </c>
      <c r="E165" s="8">
        <v>335400</v>
      </c>
    </row>
    <row r="166" spans="1:5">
      <c r="A166" s="3" t="s">
        <v>42</v>
      </c>
      <c r="B166" s="3" t="s">
        <v>13</v>
      </c>
      <c r="C166" s="3" t="s">
        <v>54</v>
      </c>
      <c r="D166" s="5">
        <v>44617</v>
      </c>
      <c r="E166" s="8">
        <v>69200</v>
      </c>
    </row>
    <row r="167" spans="1:5">
      <c r="A167" s="3" t="s">
        <v>42</v>
      </c>
      <c r="B167" s="3" t="s">
        <v>13</v>
      </c>
      <c r="C167" s="3" t="s">
        <v>55</v>
      </c>
      <c r="D167" s="5">
        <v>44617</v>
      </c>
      <c r="E167" s="8" t="s">
        <v>75</v>
      </c>
    </row>
    <row r="168" spans="1:5">
      <c r="A168" s="3" t="s">
        <v>42</v>
      </c>
      <c r="B168" s="3" t="s">
        <v>13</v>
      </c>
      <c r="C168" s="3" t="s">
        <v>56</v>
      </c>
      <c r="D168" s="5">
        <v>44617</v>
      </c>
      <c r="E168" s="8">
        <v>21900</v>
      </c>
    </row>
    <row r="169" spans="1:5">
      <c r="A169" s="3" t="s">
        <v>42</v>
      </c>
      <c r="B169" s="3" t="s">
        <v>13</v>
      </c>
      <c r="C169" s="3" t="s">
        <v>57</v>
      </c>
      <c r="D169" s="5">
        <v>44617</v>
      </c>
      <c r="E169" s="8" t="s">
        <v>75</v>
      </c>
    </row>
    <row r="170" spans="1:5">
      <c r="A170" s="3" t="s">
        <v>42</v>
      </c>
      <c r="B170" s="3" t="s">
        <v>16</v>
      </c>
      <c r="C170" s="3" t="s">
        <v>58</v>
      </c>
      <c r="D170" s="5">
        <v>44617</v>
      </c>
      <c r="E170" s="8">
        <v>37700</v>
      </c>
    </row>
    <row r="171" spans="1:5">
      <c r="A171" s="3" t="s">
        <v>42</v>
      </c>
      <c r="B171" s="3" t="s">
        <v>16</v>
      </c>
      <c r="C171" s="3" t="s">
        <v>59</v>
      </c>
      <c r="D171" s="5">
        <v>44617</v>
      </c>
      <c r="E171" s="8">
        <v>43900</v>
      </c>
    </row>
    <row r="172" spans="1:5">
      <c r="A172" s="3" t="s">
        <v>42</v>
      </c>
      <c r="B172" s="3" t="s">
        <v>16</v>
      </c>
      <c r="C172" s="3" t="s">
        <v>60</v>
      </c>
      <c r="D172" s="5">
        <v>44617</v>
      </c>
      <c r="E172" s="8">
        <v>26300</v>
      </c>
    </row>
    <row r="173" spans="1:5">
      <c r="A173" s="3" t="s">
        <v>42</v>
      </c>
      <c r="B173" s="3" t="s">
        <v>17</v>
      </c>
      <c r="C173" s="3" t="s">
        <v>17</v>
      </c>
      <c r="D173" s="5">
        <v>44617</v>
      </c>
      <c r="E173" s="8">
        <v>24300</v>
      </c>
    </row>
    <row r="174" spans="1:5">
      <c r="A174" s="3" t="s">
        <v>42</v>
      </c>
      <c r="B174" s="3" t="s">
        <v>17</v>
      </c>
      <c r="C174" s="3" t="s">
        <v>61</v>
      </c>
      <c r="D174" s="5">
        <v>44617</v>
      </c>
      <c r="E174" s="8">
        <v>12500</v>
      </c>
    </row>
    <row r="175" spans="1:5">
      <c r="A175" s="3" t="s">
        <v>42</v>
      </c>
      <c r="B175" s="3" t="s">
        <v>18</v>
      </c>
      <c r="C175" s="3" t="s">
        <v>18</v>
      </c>
      <c r="D175" s="5">
        <v>44617</v>
      </c>
      <c r="E175" s="8">
        <v>43900</v>
      </c>
    </row>
    <row r="176" spans="1:5">
      <c r="A176" s="3" t="s">
        <v>42</v>
      </c>
      <c r="B176" s="3" t="s">
        <v>18</v>
      </c>
      <c r="C176" s="3" t="s">
        <v>62</v>
      </c>
      <c r="D176" s="5">
        <v>44617</v>
      </c>
      <c r="E176" s="8">
        <v>12700</v>
      </c>
    </row>
    <row r="177" spans="1:5">
      <c r="A177" s="3" t="s">
        <v>42</v>
      </c>
      <c r="B177" s="3" t="s">
        <v>18</v>
      </c>
      <c r="C177" s="3" t="s">
        <v>63</v>
      </c>
      <c r="D177" s="5">
        <v>44617</v>
      </c>
      <c r="E177" s="8">
        <v>979</v>
      </c>
    </row>
    <row r="178" spans="1:5">
      <c r="A178" s="3" t="s">
        <v>79</v>
      </c>
      <c r="B178" s="3" t="s">
        <v>2</v>
      </c>
      <c r="C178" s="3" t="s">
        <v>64</v>
      </c>
      <c r="D178" s="5">
        <v>44617</v>
      </c>
      <c r="E178" s="8">
        <v>19000</v>
      </c>
    </row>
    <row r="179" spans="1:5">
      <c r="A179" s="3" t="s">
        <v>79</v>
      </c>
      <c r="B179" s="3" t="s">
        <v>3</v>
      </c>
      <c r="C179" s="3" t="s">
        <v>65</v>
      </c>
      <c r="D179" s="5">
        <v>44617</v>
      </c>
      <c r="E179" s="8">
        <v>10100</v>
      </c>
    </row>
    <row r="180" spans="1:5">
      <c r="A180" s="3" t="s">
        <v>79</v>
      </c>
      <c r="B180" s="3" t="s">
        <v>3</v>
      </c>
      <c r="C180" s="3" t="s">
        <v>66</v>
      </c>
      <c r="D180" s="5">
        <v>44617</v>
      </c>
      <c r="E180" s="8">
        <v>6768</v>
      </c>
    </row>
    <row r="181" spans="1:5">
      <c r="A181" s="3" t="s">
        <v>79</v>
      </c>
      <c r="B181" s="3" t="s">
        <v>3</v>
      </c>
      <c r="C181" s="3" t="s">
        <v>67</v>
      </c>
      <c r="D181" s="5">
        <v>44617</v>
      </c>
      <c r="E181" s="8">
        <v>7784</v>
      </c>
    </row>
    <row r="182" spans="1:5">
      <c r="A182" s="3" t="s">
        <v>79</v>
      </c>
      <c r="B182" s="3" t="s">
        <v>3</v>
      </c>
      <c r="C182" s="3" t="s">
        <v>68</v>
      </c>
      <c r="D182" s="5">
        <v>44617</v>
      </c>
      <c r="E182" s="8">
        <v>14700</v>
      </c>
    </row>
    <row r="183" spans="1:5">
      <c r="A183" s="3" t="s">
        <v>79</v>
      </c>
      <c r="B183" s="3" t="s">
        <v>7</v>
      </c>
      <c r="C183" s="3" t="s">
        <v>69</v>
      </c>
      <c r="D183" s="5">
        <v>44617</v>
      </c>
      <c r="E183" s="8">
        <v>77700</v>
      </c>
    </row>
    <row r="184" spans="1:5">
      <c r="A184" s="3" t="s">
        <v>79</v>
      </c>
      <c r="B184" s="3" t="s">
        <v>10</v>
      </c>
      <c r="C184" s="3" t="s">
        <v>53</v>
      </c>
      <c r="D184" s="5">
        <v>44617</v>
      </c>
      <c r="E184" s="8">
        <v>77400</v>
      </c>
    </row>
    <row r="185" spans="1:5">
      <c r="A185" s="3" t="s">
        <v>79</v>
      </c>
      <c r="B185" s="3" t="s">
        <v>10</v>
      </c>
      <c r="C185" s="3" t="s">
        <v>10</v>
      </c>
      <c r="D185" s="5">
        <v>44617</v>
      </c>
      <c r="E185" s="8">
        <v>82700</v>
      </c>
    </row>
    <row r="186" spans="1:5">
      <c r="A186" s="3" t="s">
        <v>79</v>
      </c>
      <c r="B186" s="3" t="s">
        <v>13</v>
      </c>
      <c r="C186" s="3" t="s">
        <v>70</v>
      </c>
      <c r="D186" s="5">
        <v>44617</v>
      </c>
      <c r="E186" s="8">
        <v>112000</v>
      </c>
    </row>
    <row r="187" spans="1:5">
      <c r="A187" s="3" t="s">
        <v>79</v>
      </c>
      <c r="B187" s="3" t="s">
        <v>16</v>
      </c>
      <c r="C187" s="3" t="s">
        <v>16</v>
      </c>
      <c r="D187" s="5">
        <v>44617</v>
      </c>
      <c r="E187" s="8">
        <v>22800</v>
      </c>
    </row>
    <row r="188" spans="1:5">
      <c r="A188" s="3" t="s">
        <v>79</v>
      </c>
      <c r="B188" s="3" t="s">
        <v>17</v>
      </c>
      <c r="C188" s="3" t="s">
        <v>71</v>
      </c>
      <c r="D188" s="5">
        <v>44617</v>
      </c>
      <c r="E188" s="8">
        <v>13600</v>
      </c>
    </row>
    <row r="189" spans="1:5">
      <c r="A189" s="3" t="s">
        <v>79</v>
      </c>
      <c r="B189" s="3" t="s">
        <v>18</v>
      </c>
      <c r="C189" s="3" t="s">
        <v>72</v>
      </c>
      <c r="D189" s="5">
        <v>44617</v>
      </c>
      <c r="E189" s="8">
        <v>31300</v>
      </c>
    </row>
    <row r="190" spans="1:5">
      <c r="A190" s="3" t="s">
        <v>1</v>
      </c>
      <c r="B190" s="3" t="s">
        <v>2</v>
      </c>
      <c r="C190" s="3" t="s">
        <v>2</v>
      </c>
      <c r="D190" s="5">
        <v>44645</v>
      </c>
      <c r="E190" s="8">
        <v>2778425</v>
      </c>
    </row>
    <row r="191" spans="1:5">
      <c r="A191" s="3" t="s">
        <v>1</v>
      </c>
      <c r="B191" s="3" t="s">
        <v>3</v>
      </c>
      <c r="C191" s="3" t="s">
        <v>3</v>
      </c>
      <c r="D191" s="5">
        <v>44645</v>
      </c>
      <c r="E191" s="8">
        <v>3949311</v>
      </c>
    </row>
    <row r="192" spans="1:5">
      <c r="A192" s="3" t="s">
        <v>1</v>
      </c>
      <c r="B192" s="3" t="s">
        <v>3</v>
      </c>
      <c r="C192" s="3" t="s">
        <v>4</v>
      </c>
      <c r="D192" s="5">
        <v>44645</v>
      </c>
      <c r="E192" s="8">
        <v>96763</v>
      </c>
    </row>
    <row r="193" spans="1:5">
      <c r="A193" s="3" t="s">
        <v>1</v>
      </c>
      <c r="B193" s="3" t="s">
        <v>3</v>
      </c>
      <c r="C193" s="3" t="s">
        <v>5</v>
      </c>
      <c r="D193" s="5">
        <v>44645</v>
      </c>
      <c r="E193" s="8">
        <v>14806</v>
      </c>
    </row>
    <row r="194" spans="1:5">
      <c r="A194" s="3" t="s">
        <v>1</v>
      </c>
      <c r="B194" s="3" t="s">
        <v>3</v>
      </c>
      <c r="C194" s="3" t="s">
        <v>6</v>
      </c>
      <c r="D194" s="5">
        <v>44645</v>
      </c>
      <c r="E194" s="8">
        <v>159843</v>
      </c>
    </row>
    <row r="195" spans="1:5">
      <c r="A195" s="3" t="s">
        <v>1</v>
      </c>
      <c r="B195" s="3" t="s">
        <v>7</v>
      </c>
      <c r="C195" s="3" t="s">
        <v>7</v>
      </c>
      <c r="D195" s="5">
        <v>44645</v>
      </c>
      <c r="E195" s="8">
        <v>3698498</v>
      </c>
    </row>
    <row r="196" spans="1:5">
      <c r="A196" s="3" t="s">
        <v>1</v>
      </c>
      <c r="B196" s="3" t="s">
        <v>7</v>
      </c>
      <c r="C196" s="3" t="s">
        <v>8</v>
      </c>
      <c r="D196" s="5">
        <v>44645</v>
      </c>
      <c r="E196" s="8">
        <v>404063</v>
      </c>
    </row>
    <row r="197" spans="1:5">
      <c r="A197" s="3" t="s">
        <v>1</v>
      </c>
      <c r="B197" s="3" t="s">
        <v>7</v>
      </c>
      <c r="C197" s="3" t="s">
        <v>9</v>
      </c>
      <c r="D197" s="5">
        <v>44645</v>
      </c>
      <c r="E197" s="8">
        <v>212185</v>
      </c>
    </row>
    <row r="198" spans="1:5">
      <c r="A198" s="3" t="s">
        <v>1</v>
      </c>
      <c r="B198" s="3" t="s">
        <v>10</v>
      </c>
      <c r="C198" s="3" t="s">
        <v>10</v>
      </c>
      <c r="D198" s="5">
        <v>44645</v>
      </c>
      <c r="E198" s="8">
        <v>1200549</v>
      </c>
    </row>
    <row r="199" spans="1:5">
      <c r="A199" s="3" t="s">
        <v>1</v>
      </c>
      <c r="B199" s="3" t="s">
        <v>10</v>
      </c>
      <c r="C199" s="3" t="s">
        <v>11</v>
      </c>
      <c r="D199" s="5">
        <v>44645</v>
      </c>
      <c r="E199" s="8">
        <v>1143581</v>
      </c>
    </row>
    <row r="200" spans="1:5">
      <c r="A200" s="3" t="s">
        <v>1</v>
      </c>
      <c r="B200" s="3" t="s">
        <v>10</v>
      </c>
      <c r="C200" s="3" t="s">
        <v>12</v>
      </c>
      <c r="D200" s="5">
        <v>44645</v>
      </c>
      <c r="E200" s="8">
        <v>215224</v>
      </c>
    </row>
    <row r="201" spans="1:5">
      <c r="A201" s="3" t="s">
        <v>1</v>
      </c>
      <c r="B201" s="3" t="s">
        <v>13</v>
      </c>
      <c r="C201" s="3" t="s">
        <v>13</v>
      </c>
      <c r="D201" s="5">
        <v>44645</v>
      </c>
      <c r="E201" s="8">
        <v>1144120</v>
      </c>
    </row>
    <row r="202" spans="1:5">
      <c r="A202" s="3" t="s">
        <v>1</v>
      </c>
      <c r="B202" s="3" t="s">
        <v>13</v>
      </c>
      <c r="C202" s="3" t="s">
        <v>14</v>
      </c>
      <c r="D202" s="5">
        <v>44645</v>
      </c>
      <c r="E202" s="8">
        <v>192214</v>
      </c>
    </row>
    <row r="203" spans="1:5">
      <c r="A203" s="3" t="s">
        <v>1</v>
      </c>
      <c r="B203" s="3" t="s">
        <v>13</v>
      </c>
      <c r="C203" s="3" t="s">
        <v>15</v>
      </c>
      <c r="D203" s="5">
        <v>44645</v>
      </c>
      <c r="E203" s="8">
        <v>1064</v>
      </c>
    </row>
    <row r="204" spans="1:5">
      <c r="A204" s="3" t="s">
        <v>1</v>
      </c>
      <c r="B204" s="3" t="s">
        <v>16</v>
      </c>
      <c r="C204" s="3" t="s">
        <v>16</v>
      </c>
      <c r="D204" s="5">
        <v>44645</v>
      </c>
      <c r="E204" s="8">
        <v>340066</v>
      </c>
    </row>
    <row r="205" spans="1:5">
      <c r="A205" s="3" t="s">
        <v>1</v>
      </c>
      <c r="B205" s="3" t="s">
        <v>86</v>
      </c>
      <c r="C205" s="3" t="s">
        <v>86</v>
      </c>
      <c r="D205" s="5">
        <v>44645</v>
      </c>
      <c r="E205" s="8">
        <v>353505</v>
      </c>
    </row>
    <row r="206" spans="1:5">
      <c r="A206" s="3" t="s">
        <v>1</v>
      </c>
      <c r="B206" s="3" t="s">
        <v>18</v>
      </c>
      <c r="C206" s="3" t="s">
        <v>19</v>
      </c>
      <c r="D206" s="5">
        <v>44645</v>
      </c>
      <c r="E206" s="8">
        <v>327253</v>
      </c>
    </row>
    <row r="207" spans="1:5">
      <c r="A207" s="3" t="s">
        <v>20</v>
      </c>
      <c r="B207" s="3" t="s">
        <v>2</v>
      </c>
      <c r="C207" s="3" t="s">
        <v>2</v>
      </c>
      <c r="D207" s="5">
        <v>44645</v>
      </c>
      <c r="E207" s="8">
        <v>2085093</v>
      </c>
    </row>
    <row r="208" spans="1:5">
      <c r="A208" s="3" t="s">
        <v>20</v>
      </c>
      <c r="B208" s="3" t="s">
        <v>2</v>
      </c>
      <c r="C208" s="3" t="s">
        <v>21</v>
      </c>
      <c r="D208" s="5">
        <v>44645</v>
      </c>
      <c r="E208" s="8">
        <v>339351</v>
      </c>
    </row>
    <row r="209" spans="1:5">
      <c r="A209" s="3" t="s">
        <v>20</v>
      </c>
      <c r="B209" s="3" t="s">
        <v>2</v>
      </c>
      <c r="C209" s="3" t="s">
        <v>22</v>
      </c>
      <c r="D209" s="5">
        <v>44645</v>
      </c>
      <c r="E209" s="8">
        <v>293598</v>
      </c>
    </row>
    <row r="210" spans="1:5">
      <c r="A210" s="3" t="s">
        <v>20</v>
      </c>
      <c r="B210" s="3" t="s">
        <v>2</v>
      </c>
      <c r="C210" s="3" t="s">
        <v>23</v>
      </c>
      <c r="D210" s="5">
        <v>44645</v>
      </c>
      <c r="E210" s="8">
        <v>630788</v>
      </c>
    </row>
    <row r="211" spans="1:5">
      <c r="A211" s="3" t="s">
        <v>20</v>
      </c>
      <c r="B211" s="3" t="s">
        <v>2</v>
      </c>
      <c r="C211" s="3" t="s">
        <v>24</v>
      </c>
      <c r="D211" s="5">
        <v>44645</v>
      </c>
      <c r="E211" s="8">
        <v>19308</v>
      </c>
    </row>
    <row r="212" spans="1:5">
      <c r="A212" s="3" t="s">
        <v>20</v>
      </c>
      <c r="B212" s="3" t="s">
        <v>3</v>
      </c>
      <c r="C212" s="3" t="s">
        <v>3</v>
      </c>
      <c r="D212" s="5">
        <v>44645</v>
      </c>
      <c r="E212" s="8">
        <v>541098</v>
      </c>
    </row>
    <row r="213" spans="1:5">
      <c r="A213" s="3" t="s">
        <v>20</v>
      </c>
      <c r="B213" s="3" t="s">
        <v>3</v>
      </c>
      <c r="C213" s="3" t="s">
        <v>25</v>
      </c>
      <c r="D213" s="5">
        <v>44645</v>
      </c>
      <c r="E213" s="8">
        <v>29348</v>
      </c>
    </row>
    <row r="214" spans="1:5">
      <c r="A214" s="3" t="s">
        <v>20</v>
      </c>
      <c r="B214" s="3" t="s">
        <v>7</v>
      </c>
      <c r="C214" s="3" t="s">
        <v>7</v>
      </c>
      <c r="D214" s="5">
        <v>44645</v>
      </c>
      <c r="E214" s="8">
        <v>344321</v>
      </c>
    </row>
    <row r="215" spans="1:5">
      <c r="A215" s="3" t="s">
        <v>20</v>
      </c>
      <c r="B215" s="3" t="s">
        <v>7</v>
      </c>
      <c r="C215" s="3" t="s">
        <v>8</v>
      </c>
      <c r="D215" s="5">
        <v>44645</v>
      </c>
      <c r="E215" s="8">
        <v>2973222</v>
      </c>
    </row>
    <row r="216" spans="1:5">
      <c r="A216" s="3" t="s">
        <v>20</v>
      </c>
      <c r="B216" s="3" t="s">
        <v>7</v>
      </c>
      <c r="C216" s="3" t="s">
        <v>26</v>
      </c>
      <c r="D216" s="5">
        <v>44645</v>
      </c>
      <c r="E216" s="8">
        <v>36959</v>
      </c>
    </row>
    <row r="217" spans="1:5">
      <c r="A217" s="3" t="s">
        <v>20</v>
      </c>
      <c r="B217" s="3" t="s">
        <v>10</v>
      </c>
      <c r="C217" s="3" t="s">
        <v>10</v>
      </c>
      <c r="D217" s="5">
        <v>44645</v>
      </c>
      <c r="E217" s="8">
        <v>3610229</v>
      </c>
    </row>
    <row r="218" spans="1:5">
      <c r="A218" s="3" t="s">
        <v>20</v>
      </c>
      <c r="B218" s="3" t="s">
        <v>10</v>
      </c>
      <c r="C218" s="3" t="s">
        <v>27</v>
      </c>
      <c r="D218" s="5">
        <v>44645</v>
      </c>
      <c r="E218" s="8">
        <v>13149</v>
      </c>
    </row>
    <row r="219" spans="1:5">
      <c r="A219" s="3" t="s">
        <v>20</v>
      </c>
      <c r="B219" s="3" t="s">
        <v>10</v>
      </c>
      <c r="C219" s="3" t="s">
        <v>82</v>
      </c>
      <c r="D219" s="5">
        <v>44645</v>
      </c>
      <c r="E219" s="8">
        <v>48097</v>
      </c>
    </row>
    <row r="220" spans="1:5">
      <c r="A220" s="3" t="s">
        <v>20</v>
      </c>
      <c r="B220" s="3" t="s">
        <v>13</v>
      </c>
      <c r="C220" s="3" t="s">
        <v>13</v>
      </c>
      <c r="D220" s="5">
        <v>44645</v>
      </c>
      <c r="E220" s="8">
        <v>1780718</v>
      </c>
    </row>
    <row r="221" spans="1:5">
      <c r="A221" s="3" t="s">
        <v>20</v>
      </c>
      <c r="B221" s="3" t="s">
        <v>13</v>
      </c>
      <c r="C221" s="3" t="s">
        <v>81</v>
      </c>
      <c r="D221" s="5">
        <v>44645</v>
      </c>
      <c r="E221" s="8">
        <v>96869</v>
      </c>
    </row>
    <row r="222" spans="1:5">
      <c r="A222" s="3" t="s">
        <v>20</v>
      </c>
      <c r="B222" s="3" t="s">
        <v>13</v>
      </c>
      <c r="C222" s="3" t="s">
        <v>28</v>
      </c>
      <c r="D222" s="5">
        <v>44645</v>
      </c>
      <c r="E222" s="8" t="s">
        <v>75</v>
      </c>
    </row>
    <row r="223" spans="1:5">
      <c r="A223" s="3" t="s">
        <v>20</v>
      </c>
      <c r="B223" s="3" t="s">
        <v>16</v>
      </c>
      <c r="C223" s="3" t="s">
        <v>16</v>
      </c>
      <c r="D223" s="5">
        <v>44645</v>
      </c>
      <c r="E223" s="8">
        <v>229236</v>
      </c>
    </row>
    <row r="224" spans="1:5">
      <c r="A224" s="3" t="s">
        <v>20</v>
      </c>
      <c r="B224" s="3" t="s">
        <v>16</v>
      </c>
      <c r="C224" s="3" t="s">
        <v>29</v>
      </c>
      <c r="D224" s="5">
        <v>44645</v>
      </c>
      <c r="E224" s="8">
        <v>13291</v>
      </c>
    </row>
    <row r="225" spans="1:5">
      <c r="A225" s="3" t="s">
        <v>20</v>
      </c>
      <c r="B225" s="3" t="s">
        <v>16</v>
      </c>
      <c r="C225" s="3" t="s">
        <v>30</v>
      </c>
      <c r="D225" s="5">
        <v>44645</v>
      </c>
      <c r="E225" s="8">
        <v>10745</v>
      </c>
    </row>
    <row r="226" spans="1:5">
      <c r="A226" s="3" t="s">
        <v>20</v>
      </c>
      <c r="B226" s="3" t="s">
        <v>16</v>
      </c>
      <c r="C226" s="3" t="s">
        <v>31</v>
      </c>
      <c r="D226" s="5">
        <v>44645</v>
      </c>
      <c r="E226" s="8">
        <v>7065</v>
      </c>
    </row>
    <row r="227" spans="1:5">
      <c r="A227" s="3" t="s">
        <v>20</v>
      </c>
      <c r="B227" s="3" t="s">
        <v>16</v>
      </c>
      <c r="C227" s="3" t="s">
        <v>32</v>
      </c>
      <c r="D227" s="5">
        <v>44645</v>
      </c>
      <c r="E227" s="8">
        <v>7021</v>
      </c>
    </row>
    <row r="228" spans="1:5">
      <c r="A228" s="3" t="s">
        <v>20</v>
      </c>
      <c r="B228" s="3" t="s">
        <v>16</v>
      </c>
      <c r="C228" s="3" t="s">
        <v>33</v>
      </c>
      <c r="D228" s="5">
        <v>44645</v>
      </c>
      <c r="E228" s="8" t="s">
        <v>75</v>
      </c>
    </row>
    <row r="229" spans="1:5">
      <c r="A229" s="3" t="s">
        <v>20</v>
      </c>
      <c r="B229" s="3" t="s">
        <v>17</v>
      </c>
      <c r="C229" s="3" t="s">
        <v>17</v>
      </c>
      <c r="D229" s="5">
        <v>44645</v>
      </c>
      <c r="E229" s="8">
        <v>121155</v>
      </c>
    </row>
    <row r="230" spans="1:5">
      <c r="A230" s="3" t="s">
        <v>20</v>
      </c>
      <c r="B230" s="3" t="s">
        <v>17</v>
      </c>
      <c r="C230" s="3" t="s">
        <v>34</v>
      </c>
      <c r="D230" s="5">
        <v>44645</v>
      </c>
      <c r="E230" s="8">
        <v>12052</v>
      </c>
    </row>
    <row r="231" spans="1:5">
      <c r="A231" s="3" t="s">
        <v>20</v>
      </c>
      <c r="B231" s="3" t="s">
        <v>17</v>
      </c>
      <c r="C231" s="3" t="s">
        <v>35</v>
      </c>
      <c r="D231" s="5">
        <v>44645</v>
      </c>
      <c r="E231" s="8">
        <v>5121</v>
      </c>
    </row>
    <row r="232" spans="1:5">
      <c r="A232" s="3" t="s">
        <v>20</v>
      </c>
      <c r="B232" s="3" t="s">
        <v>17</v>
      </c>
      <c r="C232" s="3" t="s">
        <v>36</v>
      </c>
      <c r="D232" s="5">
        <v>44645</v>
      </c>
      <c r="E232" s="8">
        <v>923</v>
      </c>
    </row>
    <row r="233" spans="1:5">
      <c r="A233" s="3" t="s">
        <v>20</v>
      </c>
      <c r="B233" s="3" t="s">
        <v>17</v>
      </c>
      <c r="C233" s="3" t="s">
        <v>37</v>
      </c>
      <c r="D233" s="5">
        <v>44645</v>
      </c>
      <c r="E233" s="8" t="s">
        <v>75</v>
      </c>
    </row>
    <row r="234" spans="1:5">
      <c r="A234" s="3" t="s">
        <v>20</v>
      </c>
      <c r="B234" s="3" t="s">
        <v>18</v>
      </c>
      <c r="C234" s="3" t="s">
        <v>19</v>
      </c>
      <c r="D234" s="5">
        <v>44645</v>
      </c>
      <c r="E234" s="8">
        <v>355664</v>
      </c>
    </row>
    <row r="235" spans="1:5">
      <c r="A235" s="3" t="s">
        <v>20</v>
      </c>
      <c r="B235" s="3" t="s">
        <v>18</v>
      </c>
      <c r="C235" s="3" t="s">
        <v>38</v>
      </c>
      <c r="D235" s="5">
        <v>44645</v>
      </c>
      <c r="E235" s="8">
        <v>4838</v>
      </c>
    </row>
    <row r="236" spans="1:5">
      <c r="A236" s="3" t="s">
        <v>20</v>
      </c>
      <c r="B236" s="3" t="s">
        <v>18</v>
      </c>
      <c r="C236" s="3" t="s">
        <v>39</v>
      </c>
      <c r="D236" s="5">
        <v>44645</v>
      </c>
      <c r="E236" s="8">
        <v>7755</v>
      </c>
    </row>
    <row r="237" spans="1:5">
      <c r="A237" s="3" t="s">
        <v>20</v>
      </c>
      <c r="B237" s="3" t="s">
        <v>18</v>
      </c>
      <c r="C237" s="3" t="s">
        <v>40</v>
      </c>
      <c r="D237" s="5">
        <v>44645</v>
      </c>
      <c r="E237" s="8" t="s">
        <v>75</v>
      </c>
    </row>
    <row r="238" spans="1:5">
      <c r="A238" s="3" t="s">
        <v>20</v>
      </c>
      <c r="B238" s="3" t="s">
        <v>18</v>
      </c>
      <c r="C238" s="3" t="s">
        <v>73</v>
      </c>
      <c r="D238" s="5">
        <v>44645</v>
      </c>
      <c r="E238" s="8" t="s">
        <v>75</v>
      </c>
    </row>
    <row r="239" spans="1:5">
      <c r="A239" s="3" t="s">
        <v>20</v>
      </c>
      <c r="B239" s="3" t="s">
        <v>18</v>
      </c>
      <c r="C239" s="3" t="s">
        <v>41</v>
      </c>
      <c r="D239" s="5">
        <v>44645</v>
      </c>
      <c r="E239" s="8" t="s">
        <v>75</v>
      </c>
    </row>
    <row r="240" spans="1:5">
      <c r="A240" s="3" t="s">
        <v>42</v>
      </c>
      <c r="B240" s="3" t="s">
        <v>2</v>
      </c>
      <c r="C240" s="3" t="s">
        <v>2</v>
      </c>
      <c r="D240" s="5">
        <v>44645</v>
      </c>
      <c r="E240" s="8">
        <v>779400</v>
      </c>
    </row>
    <row r="241" spans="1:5">
      <c r="A241" s="3" t="s">
        <v>42</v>
      </c>
      <c r="B241" s="3" t="s">
        <v>2</v>
      </c>
      <c r="C241" s="3" t="s">
        <v>43</v>
      </c>
      <c r="D241" s="5">
        <v>44645</v>
      </c>
      <c r="E241" s="8">
        <v>534600</v>
      </c>
    </row>
    <row r="242" spans="1:5">
      <c r="A242" s="3" t="s">
        <v>42</v>
      </c>
      <c r="B242" s="3" t="s">
        <v>2</v>
      </c>
      <c r="C242" s="3" t="s">
        <v>83</v>
      </c>
      <c r="D242" s="5">
        <v>44645</v>
      </c>
      <c r="E242" s="8">
        <v>130000</v>
      </c>
    </row>
    <row r="243" spans="1:5">
      <c r="A243" s="3" t="s">
        <v>42</v>
      </c>
      <c r="B243" s="3" t="s">
        <v>2</v>
      </c>
      <c r="C243" s="3" t="s">
        <v>44</v>
      </c>
      <c r="D243" s="5">
        <v>44645</v>
      </c>
      <c r="E243" s="8">
        <v>135800</v>
      </c>
    </row>
    <row r="244" spans="1:5">
      <c r="A244" s="3" t="s">
        <v>42</v>
      </c>
      <c r="B244" s="3" t="s">
        <v>2</v>
      </c>
      <c r="C244" s="3" t="s">
        <v>45</v>
      </c>
      <c r="D244" s="5">
        <v>44645</v>
      </c>
      <c r="E244" s="8">
        <v>158000</v>
      </c>
    </row>
    <row r="245" spans="1:5">
      <c r="A245" s="3" t="s">
        <v>42</v>
      </c>
      <c r="B245" s="3" t="s">
        <v>2</v>
      </c>
      <c r="C245" s="3" t="s">
        <v>80</v>
      </c>
      <c r="D245" s="5">
        <v>44645</v>
      </c>
      <c r="E245" s="8">
        <v>17400</v>
      </c>
    </row>
    <row r="246" spans="1:5">
      <c r="A246" s="3" t="s">
        <v>42</v>
      </c>
      <c r="B246" s="3" t="s">
        <v>3</v>
      </c>
      <c r="C246" s="3" t="s">
        <v>3</v>
      </c>
      <c r="D246" s="5">
        <v>44645</v>
      </c>
      <c r="E246" s="8">
        <v>204000</v>
      </c>
    </row>
    <row r="247" spans="1:5">
      <c r="A247" s="3" t="s">
        <v>42</v>
      </c>
      <c r="B247" s="3" t="s">
        <v>3</v>
      </c>
      <c r="C247" s="3" t="s">
        <v>46</v>
      </c>
      <c r="D247" s="5">
        <v>44645</v>
      </c>
      <c r="E247" s="8">
        <v>116400</v>
      </c>
    </row>
    <row r="248" spans="1:5">
      <c r="A248" s="3" t="s">
        <v>42</v>
      </c>
      <c r="B248" s="3" t="s">
        <v>3</v>
      </c>
      <c r="C248" s="3" t="s">
        <v>4</v>
      </c>
      <c r="D248" s="5">
        <v>44645</v>
      </c>
      <c r="E248" s="8">
        <v>47800</v>
      </c>
    </row>
    <row r="249" spans="1:5">
      <c r="A249" s="3" t="s">
        <v>42</v>
      </c>
      <c r="B249" s="3" t="s">
        <v>3</v>
      </c>
      <c r="C249" s="3" t="s">
        <v>5</v>
      </c>
      <c r="D249" s="5">
        <v>44645</v>
      </c>
      <c r="E249" s="8">
        <v>3353</v>
      </c>
    </row>
    <row r="250" spans="1:5">
      <c r="A250" s="3" t="s">
        <v>42</v>
      </c>
      <c r="B250" s="3" t="s">
        <v>3</v>
      </c>
      <c r="C250" s="3" t="s">
        <v>47</v>
      </c>
      <c r="D250" s="5">
        <v>44645</v>
      </c>
      <c r="E250" s="8">
        <v>6915</v>
      </c>
    </row>
    <row r="251" spans="1:5">
      <c r="A251" s="3" t="s">
        <v>42</v>
      </c>
      <c r="B251" s="3" t="s">
        <v>3</v>
      </c>
      <c r="C251" s="3" t="s">
        <v>48</v>
      </c>
      <c r="D251" s="5">
        <v>44645</v>
      </c>
      <c r="E251" s="8">
        <v>6997</v>
      </c>
    </row>
    <row r="252" spans="1:5">
      <c r="A252" s="3" t="s">
        <v>42</v>
      </c>
      <c r="B252" s="3" t="s">
        <v>3</v>
      </c>
      <c r="C252" s="3" t="s">
        <v>49</v>
      </c>
      <c r="D252" s="5">
        <v>44645</v>
      </c>
      <c r="E252" s="8">
        <v>39500</v>
      </c>
    </row>
    <row r="253" spans="1:5">
      <c r="A253" s="3" t="s">
        <v>42</v>
      </c>
      <c r="B253" s="3" t="s">
        <v>7</v>
      </c>
      <c r="C253" s="3" t="s">
        <v>7</v>
      </c>
      <c r="D253" s="5">
        <v>44645</v>
      </c>
      <c r="E253" s="8">
        <v>394300</v>
      </c>
    </row>
    <row r="254" spans="1:5">
      <c r="A254" s="3" t="s">
        <v>42</v>
      </c>
      <c r="B254" s="3" t="s">
        <v>7</v>
      </c>
      <c r="C254" s="3" t="s">
        <v>50</v>
      </c>
      <c r="D254" s="5">
        <v>44645</v>
      </c>
      <c r="E254" s="8">
        <v>184500</v>
      </c>
    </row>
    <row r="255" spans="1:5">
      <c r="A255" s="3" t="s">
        <v>42</v>
      </c>
      <c r="B255" s="3" t="s">
        <v>7</v>
      </c>
      <c r="C255" s="3" t="s">
        <v>51</v>
      </c>
      <c r="D255" s="5">
        <v>44645</v>
      </c>
      <c r="E255" s="8">
        <v>142300</v>
      </c>
    </row>
    <row r="256" spans="1:5">
      <c r="A256" s="3" t="s">
        <v>42</v>
      </c>
      <c r="B256" s="3" t="s">
        <v>10</v>
      </c>
      <c r="C256" s="3" t="s">
        <v>10</v>
      </c>
      <c r="D256" s="5">
        <v>44645</v>
      </c>
      <c r="E256" s="8">
        <v>911800</v>
      </c>
    </row>
    <row r="257" spans="1:5">
      <c r="A257" s="3" t="s">
        <v>42</v>
      </c>
      <c r="B257" s="3" t="s">
        <v>10</v>
      </c>
      <c r="C257" s="3" t="s">
        <v>52</v>
      </c>
      <c r="D257" s="5">
        <v>44645</v>
      </c>
      <c r="E257" s="8">
        <v>38300</v>
      </c>
    </row>
    <row r="258" spans="1:5">
      <c r="A258" s="3" t="s">
        <v>42</v>
      </c>
      <c r="B258" s="3" t="s">
        <v>10</v>
      </c>
      <c r="C258" s="3" t="s">
        <v>53</v>
      </c>
      <c r="D258" s="5">
        <v>44645</v>
      </c>
      <c r="E258" s="8">
        <v>414900</v>
      </c>
    </row>
    <row r="259" spans="1:5">
      <c r="A259" s="3" t="s">
        <v>42</v>
      </c>
      <c r="B259" s="3" t="s">
        <v>13</v>
      </c>
      <c r="C259" s="3" t="s">
        <v>13</v>
      </c>
      <c r="D259" s="5">
        <v>44645</v>
      </c>
      <c r="E259" s="8">
        <v>336900</v>
      </c>
    </row>
    <row r="260" spans="1:5">
      <c r="A260" s="3" t="s">
        <v>42</v>
      </c>
      <c r="B260" s="3" t="s">
        <v>13</v>
      </c>
      <c r="C260" s="3" t="s">
        <v>54</v>
      </c>
      <c r="D260" s="5">
        <v>44645</v>
      </c>
      <c r="E260" s="8">
        <v>69300</v>
      </c>
    </row>
    <row r="261" spans="1:5">
      <c r="A261" s="3" t="s">
        <v>42</v>
      </c>
      <c r="B261" s="3" t="s">
        <v>13</v>
      </c>
      <c r="C261" s="3" t="s">
        <v>55</v>
      </c>
      <c r="D261" s="5">
        <v>44645</v>
      </c>
      <c r="E261" s="8" t="s">
        <v>75</v>
      </c>
    </row>
    <row r="262" spans="1:5">
      <c r="A262" s="3" t="s">
        <v>42</v>
      </c>
      <c r="B262" s="3" t="s">
        <v>13</v>
      </c>
      <c r="C262" s="3" t="s">
        <v>56</v>
      </c>
      <c r="D262" s="5">
        <v>44645</v>
      </c>
      <c r="E262" s="8">
        <v>21900</v>
      </c>
    </row>
    <row r="263" spans="1:5">
      <c r="A263" s="3" t="s">
        <v>42</v>
      </c>
      <c r="B263" s="3" t="s">
        <v>13</v>
      </c>
      <c r="C263" s="3" t="s">
        <v>57</v>
      </c>
      <c r="D263" s="5">
        <v>44645</v>
      </c>
      <c r="E263" s="8" t="s">
        <v>75</v>
      </c>
    </row>
    <row r="264" spans="1:5">
      <c r="A264" s="3" t="s">
        <v>42</v>
      </c>
      <c r="B264" s="3" t="s">
        <v>16</v>
      </c>
      <c r="C264" s="3" t="s">
        <v>58</v>
      </c>
      <c r="D264" s="5">
        <v>44645</v>
      </c>
      <c r="E264" s="8">
        <v>37900</v>
      </c>
    </row>
    <row r="265" spans="1:5">
      <c r="A265" s="3" t="s">
        <v>42</v>
      </c>
      <c r="B265" s="3" t="s">
        <v>16</v>
      </c>
      <c r="C265" s="3" t="s">
        <v>59</v>
      </c>
      <c r="D265" s="5">
        <v>44645</v>
      </c>
      <c r="E265" s="8">
        <v>44300</v>
      </c>
    </row>
    <row r="266" spans="1:5">
      <c r="A266" s="3" t="s">
        <v>42</v>
      </c>
      <c r="B266" s="3" t="s">
        <v>16</v>
      </c>
      <c r="C266" s="3" t="s">
        <v>60</v>
      </c>
      <c r="D266" s="5">
        <v>44645</v>
      </c>
      <c r="E266" s="8">
        <v>26400</v>
      </c>
    </row>
    <row r="267" spans="1:5">
      <c r="A267" s="3" t="s">
        <v>42</v>
      </c>
      <c r="B267" s="3" t="s">
        <v>86</v>
      </c>
      <c r="C267" s="3" t="s">
        <v>86</v>
      </c>
      <c r="D267" s="5">
        <v>44645</v>
      </c>
      <c r="E267" s="8">
        <v>9715</v>
      </c>
    </row>
    <row r="268" spans="1:5">
      <c r="A268" s="3" t="s">
        <v>42</v>
      </c>
      <c r="B268" s="3" t="s">
        <v>18</v>
      </c>
      <c r="C268" s="3" t="s">
        <v>18</v>
      </c>
      <c r="D268" s="5">
        <v>44645</v>
      </c>
      <c r="E268" s="8">
        <v>44100</v>
      </c>
    </row>
    <row r="269" spans="1:5">
      <c r="A269" s="3" t="s">
        <v>42</v>
      </c>
      <c r="B269" s="3" t="s">
        <v>18</v>
      </c>
      <c r="C269" s="3" t="s">
        <v>62</v>
      </c>
      <c r="D269" s="5">
        <v>44645</v>
      </c>
      <c r="E269" s="8">
        <v>12700</v>
      </c>
    </row>
    <row r="270" spans="1:5">
      <c r="A270" s="3" t="s">
        <v>42</v>
      </c>
      <c r="B270" s="3" t="s">
        <v>18</v>
      </c>
      <c r="C270" s="3" t="s">
        <v>63</v>
      </c>
      <c r="D270" s="5">
        <v>44645</v>
      </c>
      <c r="E270" s="8">
        <v>977</v>
      </c>
    </row>
    <row r="271" spans="1:5">
      <c r="A271" s="3" t="s">
        <v>79</v>
      </c>
      <c r="B271" s="3" t="s">
        <v>2</v>
      </c>
      <c r="C271" s="3" t="s">
        <v>64</v>
      </c>
      <c r="D271" s="5">
        <v>44645</v>
      </c>
      <c r="E271" s="8">
        <v>195000</v>
      </c>
    </row>
    <row r="272" spans="1:5">
      <c r="A272" s="3" t="s">
        <v>79</v>
      </c>
      <c r="B272" s="3" t="s">
        <v>3</v>
      </c>
      <c r="C272" s="3" t="s">
        <v>65</v>
      </c>
      <c r="D272" s="5">
        <v>44645</v>
      </c>
      <c r="E272" s="8">
        <v>106000</v>
      </c>
    </row>
    <row r="273" spans="1:5">
      <c r="A273" s="3" t="s">
        <v>79</v>
      </c>
      <c r="B273" s="3" t="s">
        <v>3</v>
      </c>
      <c r="C273" s="3" t="s">
        <v>66</v>
      </c>
      <c r="D273" s="5">
        <v>44645</v>
      </c>
      <c r="E273" s="8">
        <v>7237</v>
      </c>
    </row>
    <row r="274" spans="1:5">
      <c r="A274" s="3" t="s">
        <v>79</v>
      </c>
      <c r="B274" s="3" t="s">
        <v>3</v>
      </c>
      <c r="C274" s="3" t="s">
        <v>67</v>
      </c>
      <c r="D274" s="5">
        <v>44645</v>
      </c>
      <c r="E274" s="8">
        <v>7926</v>
      </c>
    </row>
    <row r="275" spans="1:5">
      <c r="A275" s="3" t="s">
        <v>79</v>
      </c>
      <c r="B275" s="3" t="s">
        <v>3</v>
      </c>
      <c r="C275" s="3" t="s">
        <v>68</v>
      </c>
      <c r="D275" s="5">
        <v>44645</v>
      </c>
      <c r="E275" s="8">
        <v>16000</v>
      </c>
    </row>
    <row r="276" spans="1:5">
      <c r="A276" s="3" t="s">
        <v>79</v>
      </c>
      <c r="B276" s="3" t="s">
        <v>7</v>
      </c>
      <c r="C276" s="3" t="s">
        <v>69</v>
      </c>
      <c r="D276" s="5">
        <v>44645</v>
      </c>
      <c r="E276" s="8">
        <v>226000</v>
      </c>
    </row>
    <row r="277" spans="1:5">
      <c r="A277" s="3" t="s">
        <v>79</v>
      </c>
      <c r="B277" s="3" t="s">
        <v>10</v>
      </c>
      <c r="C277" s="3" t="s">
        <v>53</v>
      </c>
      <c r="D277" s="5">
        <v>44645</v>
      </c>
      <c r="E277" s="8">
        <v>78100</v>
      </c>
    </row>
    <row r="278" spans="1:5">
      <c r="A278" s="3" t="s">
        <v>79</v>
      </c>
      <c r="B278" s="3" t="s">
        <v>10</v>
      </c>
      <c r="C278" s="3" t="s">
        <v>10</v>
      </c>
      <c r="D278" s="5">
        <v>44645</v>
      </c>
      <c r="E278" s="8">
        <v>86700</v>
      </c>
    </row>
    <row r="279" spans="1:5">
      <c r="A279" s="3" t="s">
        <v>79</v>
      </c>
      <c r="B279" s="3" t="s">
        <v>13</v>
      </c>
      <c r="C279" s="3" t="s">
        <v>70</v>
      </c>
      <c r="D279" s="5">
        <v>44645</v>
      </c>
      <c r="E279" s="8">
        <v>113000</v>
      </c>
    </row>
    <row r="280" spans="1:5">
      <c r="A280" s="3" t="s">
        <v>79</v>
      </c>
      <c r="B280" s="3" t="s">
        <v>16</v>
      </c>
      <c r="C280" s="3" t="s">
        <v>16</v>
      </c>
      <c r="D280" s="5">
        <v>44645</v>
      </c>
      <c r="E280" s="8">
        <v>23500</v>
      </c>
    </row>
    <row r="281" spans="1:5">
      <c r="A281" s="3" t="s">
        <v>79</v>
      </c>
      <c r="B281" s="3" t="s">
        <v>86</v>
      </c>
      <c r="C281" s="3" t="s">
        <v>86</v>
      </c>
      <c r="D281" s="5">
        <v>44645</v>
      </c>
      <c r="E281" s="8">
        <v>36400</v>
      </c>
    </row>
    <row r="282" spans="1:5">
      <c r="A282" s="3" t="s">
        <v>79</v>
      </c>
      <c r="B282" s="3" t="s">
        <v>18</v>
      </c>
      <c r="C282" s="3" t="s">
        <v>72</v>
      </c>
      <c r="D282" s="5">
        <v>44645</v>
      </c>
      <c r="E282" s="8">
        <v>32800</v>
      </c>
    </row>
    <row r="283" spans="1:5">
      <c r="A283" s="3" t="s">
        <v>1</v>
      </c>
      <c r="B283" s="3" t="s">
        <v>2</v>
      </c>
      <c r="C283" s="3" t="s">
        <v>2</v>
      </c>
      <c r="D283" s="5">
        <v>44679</v>
      </c>
      <c r="E283" s="8">
        <v>2776304</v>
      </c>
    </row>
    <row r="284" spans="1:5">
      <c r="A284" s="3" t="s">
        <v>1</v>
      </c>
      <c r="B284" s="3" t="s">
        <v>3</v>
      </c>
      <c r="C284" s="3" t="s">
        <v>3</v>
      </c>
      <c r="D284" s="5">
        <v>44679</v>
      </c>
      <c r="E284" s="8">
        <v>3946446</v>
      </c>
    </row>
    <row r="285" spans="1:5">
      <c r="A285" s="3" t="s">
        <v>1</v>
      </c>
      <c r="B285" s="3" t="s">
        <v>3</v>
      </c>
      <c r="C285" s="3" t="s">
        <v>4</v>
      </c>
      <c r="D285" s="5">
        <v>44679</v>
      </c>
      <c r="E285" s="8">
        <v>96710</v>
      </c>
    </row>
    <row r="286" spans="1:5">
      <c r="A286" s="3" t="s">
        <v>1</v>
      </c>
      <c r="B286" s="3" t="s">
        <v>3</v>
      </c>
      <c r="C286" s="3" t="s">
        <v>5</v>
      </c>
      <c r="D286" s="5">
        <v>44679</v>
      </c>
      <c r="E286" s="8">
        <v>14830</v>
      </c>
    </row>
    <row r="287" spans="1:5">
      <c r="A287" s="3" t="s">
        <v>1</v>
      </c>
      <c r="B287" s="3" t="s">
        <v>3</v>
      </c>
      <c r="C287" s="3" t="s">
        <v>6</v>
      </c>
      <c r="D287" s="5">
        <v>44679</v>
      </c>
      <c r="E287" s="8">
        <v>159735</v>
      </c>
    </row>
    <row r="288" spans="1:5">
      <c r="A288" s="3" t="s">
        <v>1</v>
      </c>
      <c r="B288" s="3" t="s">
        <v>7</v>
      </c>
      <c r="C288" s="3" t="s">
        <v>7</v>
      </c>
      <c r="D288" s="5">
        <v>44679</v>
      </c>
      <c r="E288" s="8">
        <v>3696610</v>
      </c>
    </row>
    <row r="289" spans="1:5">
      <c r="A289" s="3" t="s">
        <v>1</v>
      </c>
      <c r="B289" s="3" t="s">
        <v>7</v>
      </c>
      <c r="C289" s="3" t="s">
        <v>8</v>
      </c>
      <c r="D289" s="5">
        <v>44679</v>
      </c>
      <c r="E289" s="8">
        <v>405302</v>
      </c>
    </row>
    <row r="290" spans="1:5">
      <c r="A290" s="3" t="s">
        <v>1</v>
      </c>
      <c r="B290" s="3" t="s">
        <v>7</v>
      </c>
      <c r="C290" s="3" t="s">
        <v>9</v>
      </c>
      <c r="D290" s="5">
        <v>44679</v>
      </c>
      <c r="E290" s="8">
        <v>212044</v>
      </c>
    </row>
    <row r="291" spans="1:5">
      <c r="A291" s="3" t="s">
        <v>1</v>
      </c>
      <c r="B291" s="3" t="s">
        <v>10</v>
      </c>
      <c r="C291" s="3" t="s">
        <v>10</v>
      </c>
      <c r="D291" s="5">
        <v>44679</v>
      </c>
      <c r="E291" s="8">
        <v>1200654</v>
      </c>
    </row>
    <row r="292" spans="1:5">
      <c r="A292" s="3" t="s">
        <v>1</v>
      </c>
      <c r="B292" s="3" t="s">
        <v>10</v>
      </c>
      <c r="C292" s="3" t="s">
        <v>11</v>
      </c>
      <c r="D292" s="5">
        <v>44679</v>
      </c>
      <c r="E292" s="8">
        <v>1142593</v>
      </c>
    </row>
    <row r="293" spans="1:5">
      <c r="A293" s="3" t="s">
        <v>1</v>
      </c>
      <c r="B293" s="3" t="s">
        <v>10</v>
      </c>
      <c r="C293" s="3" t="s">
        <v>12</v>
      </c>
      <c r="D293" s="5">
        <v>44679</v>
      </c>
      <c r="E293" s="8">
        <v>215514</v>
      </c>
    </row>
    <row r="294" spans="1:5">
      <c r="A294" s="3" t="s">
        <v>1</v>
      </c>
      <c r="B294" s="3" t="s">
        <v>13</v>
      </c>
      <c r="C294" s="3" t="s">
        <v>13</v>
      </c>
      <c r="D294" s="5">
        <v>44679</v>
      </c>
      <c r="E294" s="8">
        <v>1145101</v>
      </c>
    </row>
    <row r="295" spans="1:5">
      <c r="A295" s="3" t="s">
        <v>1</v>
      </c>
      <c r="B295" s="3" t="s">
        <v>13</v>
      </c>
      <c r="C295" s="3" t="s">
        <v>14</v>
      </c>
      <c r="D295" s="5">
        <v>44679</v>
      </c>
      <c r="E295" s="8">
        <v>192027</v>
      </c>
    </row>
    <row r="296" spans="1:5">
      <c r="A296" s="3" t="s">
        <v>1</v>
      </c>
      <c r="B296" s="3" t="s">
        <v>13</v>
      </c>
      <c r="C296" s="3" t="s">
        <v>15</v>
      </c>
      <c r="D296" s="5">
        <v>44679</v>
      </c>
      <c r="E296" s="8">
        <v>1069</v>
      </c>
    </row>
    <row r="297" spans="1:5">
      <c r="A297" s="3" t="s">
        <v>1</v>
      </c>
      <c r="B297" s="3" t="s">
        <v>16</v>
      </c>
      <c r="C297" s="3" t="s">
        <v>16</v>
      </c>
      <c r="D297" s="5">
        <v>44679</v>
      </c>
      <c r="E297" s="8">
        <v>340609</v>
      </c>
    </row>
    <row r="298" spans="1:5">
      <c r="A298" s="3" t="s">
        <v>1</v>
      </c>
      <c r="B298" s="3" t="s">
        <v>86</v>
      </c>
      <c r="C298" s="3" t="s">
        <v>86</v>
      </c>
      <c r="D298" s="5">
        <v>44679</v>
      </c>
      <c r="E298" s="8">
        <v>353442</v>
      </c>
    </row>
    <row r="299" spans="1:5">
      <c r="A299" s="3" t="s">
        <v>1</v>
      </c>
      <c r="B299" s="3" t="s">
        <v>18</v>
      </c>
      <c r="C299" s="3" t="s">
        <v>19</v>
      </c>
      <c r="D299" s="5">
        <v>44679</v>
      </c>
      <c r="E299" s="8">
        <v>327376</v>
      </c>
    </row>
    <row r="300" spans="1:5">
      <c r="A300" s="3" t="s">
        <v>20</v>
      </c>
      <c r="B300" s="3" t="s">
        <v>2</v>
      </c>
      <c r="C300" s="3" t="s">
        <v>2</v>
      </c>
      <c r="D300" s="5">
        <v>44679</v>
      </c>
      <c r="E300" s="8">
        <v>2115895</v>
      </c>
    </row>
    <row r="301" spans="1:5">
      <c r="A301" s="3" t="s">
        <v>20</v>
      </c>
      <c r="B301" s="3" t="s">
        <v>2</v>
      </c>
      <c r="C301" s="3" t="s">
        <v>21</v>
      </c>
      <c r="D301" s="5">
        <v>44679</v>
      </c>
      <c r="E301" s="8">
        <v>341086</v>
      </c>
    </row>
    <row r="302" spans="1:5">
      <c r="A302" s="3" t="s">
        <v>20</v>
      </c>
      <c r="B302" s="3" t="s">
        <v>2</v>
      </c>
      <c r="C302" s="3" t="s">
        <v>22</v>
      </c>
      <c r="D302" s="5">
        <v>44679</v>
      </c>
      <c r="E302" s="8">
        <v>295446</v>
      </c>
    </row>
    <row r="303" spans="1:5">
      <c r="A303" s="3" t="s">
        <v>20</v>
      </c>
      <c r="B303" s="3" t="s">
        <v>2</v>
      </c>
      <c r="C303" s="3" t="s">
        <v>23</v>
      </c>
      <c r="D303" s="5">
        <v>44679</v>
      </c>
      <c r="E303" s="8">
        <v>633914</v>
      </c>
    </row>
    <row r="304" spans="1:5">
      <c r="A304" s="3" t="s">
        <v>20</v>
      </c>
      <c r="B304" s="3" t="s">
        <v>2</v>
      </c>
      <c r="C304" s="3" t="s">
        <v>24</v>
      </c>
      <c r="D304" s="5">
        <v>44679</v>
      </c>
      <c r="E304" s="8">
        <v>19563</v>
      </c>
    </row>
    <row r="305" spans="1:5">
      <c r="A305" s="3" t="s">
        <v>20</v>
      </c>
      <c r="B305" s="3" t="s">
        <v>3</v>
      </c>
      <c r="C305" s="3" t="s">
        <v>3</v>
      </c>
      <c r="D305" s="5">
        <v>44679</v>
      </c>
      <c r="E305" s="8">
        <v>546779</v>
      </c>
    </row>
    <row r="306" spans="1:5">
      <c r="A306" s="3" t="s">
        <v>20</v>
      </c>
      <c r="B306" s="3" t="s">
        <v>3</v>
      </c>
      <c r="C306" s="3" t="s">
        <v>25</v>
      </c>
      <c r="D306" s="5">
        <v>44679</v>
      </c>
      <c r="E306" s="8">
        <v>29662</v>
      </c>
    </row>
    <row r="307" spans="1:5">
      <c r="A307" s="3" t="s">
        <v>20</v>
      </c>
      <c r="B307" s="3" t="s">
        <v>7</v>
      </c>
      <c r="C307" s="3" t="s">
        <v>7</v>
      </c>
      <c r="D307" s="5">
        <v>44679</v>
      </c>
      <c r="E307" s="8">
        <v>349611</v>
      </c>
    </row>
    <row r="308" spans="1:5">
      <c r="A308" s="3" t="s">
        <v>20</v>
      </c>
      <c r="B308" s="3" t="s">
        <v>7</v>
      </c>
      <c r="C308" s="3" t="s">
        <v>8</v>
      </c>
      <c r="D308" s="5">
        <v>44679</v>
      </c>
      <c r="E308" s="8">
        <v>3028967</v>
      </c>
    </row>
    <row r="309" spans="1:5">
      <c r="A309" s="3" t="s">
        <v>20</v>
      </c>
      <c r="B309" s="3" t="s">
        <v>7</v>
      </c>
      <c r="C309" s="3" t="s">
        <v>26</v>
      </c>
      <c r="D309" s="5">
        <v>44679</v>
      </c>
      <c r="E309" s="8">
        <v>37115</v>
      </c>
    </row>
    <row r="310" spans="1:5">
      <c r="A310" s="3" t="s">
        <v>20</v>
      </c>
      <c r="B310" s="3" t="s">
        <v>10</v>
      </c>
      <c r="C310" s="3" t="s">
        <v>10</v>
      </c>
      <c r="D310" s="5">
        <v>44679</v>
      </c>
      <c r="E310" s="8">
        <v>3650256</v>
      </c>
    </row>
    <row r="311" spans="1:5">
      <c r="A311" s="3" t="s">
        <v>20</v>
      </c>
      <c r="B311" s="3" t="s">
        <v>10</v>
      </c>
      <c r="C311" s="3" t="s">
        <v>27</v>
      </c>
      <c r="D311" s="5">
        <v>44679</v>
      </c>
      <c r="E311" s="8">
        <v>13469</v>
      </c>
    </row>
    <row r="312" spans="1:5">
      <c r="A312" s="3" t="s">
        <v>20</v>
      </c>
      <c r="B312" s="3" t="s">
        <v>10</v>
      </c>
      <c r="C312" s="3" t="s">
        <v>82</v>
      </c>
      <c r="D312" s="5">
        <v>44679</v>
      </c>
      <c r="E312" s="8">
        <v>49844</v>
      </c>
    </row>
    <row r="313" spans="1:5">
      <c r="A313" s="3" t="s">
        <v>20</v>
      </c>
      <c r="B313" s="3" t="s">
        <v>13</v>
      </c>
      <c r="C313" s="3" t="s">
        <v>13</v>
      </c>
      <c r="D313" s="5">
        <v>44679</v>
      </c>
      <c r="E313" s="8">
        <v>1811086</v>
      </c>
    </row>
    <row r="314" spans="1:5">
      <c r="A314" s="3" t="s">
        <v>20</v>
      </c>
      <c r="B314" s="3" t="s">
        <v>13</v>
      </c>
      <c r="C314" s="3" t="s">
        <v>81</v>
      </c>
      <c r="D314" s="5">
        <v>44679</v>
      </c>
      <c r="E314" s="8">
        <v>99234</v>
      </c>
    </row>
    <row r="315" spans="1:5">
      <c r="A315" s="3" t="s">
        <v>20</v>
      </c>
      <c r="B315" s="3" t="s">
        <v>13</v>
      </c>
      <c r="C315" s="3" t="s">
        <v>28</v>
      </c>
      <c r="D315" s="5">
        <v>44679</v>
      </c>
      <c r="E315" s="8" t="s">
        <v>75</v>
      </c>
    </row>
    <row r="316" spans="1:5">
      <c r="A316" s="3" t="s">
        <v>20</v>
      </c>
      <c r="B316" s="3" t="s">
        <v>16</v>
      </c>
      <c r="C316" s="3" t="s">
        <v>16</v>
      </c>
      <c r="D316" s="5">
        <v>44679</v>
      </c>
      <c r="E316" s="8">
        <v>232029</v>
      </c>
    </row>
    <row r="317" spans="1:5">
      <c r="A317" s="3" t="s">
        <v>20</v>
      </c>
      <c r="B317" s="3" t="s">
        <v>16</v>
      </c>
      <c r="C317" s="3" t="s">
        <v>29</v>
      </c>
      <c r="D317" s="5">
        <v>44679</v>
      </c>
      <c r="E317" s="8">
        <v>13497</v>
      </c>
    </row>
    <row r="318" spans="1:5">
      <c r="A318" s="3" t="s">
        <v>20</v>
      </c>
      <c r="B318" s="3" t="s">
        <v>16</v>
      </c>
      <c r="C318" s="3" t="s">
        <v>30</v>
      </c>
      <c r="D318" s="5">
        <v>44679</v>
      </c>
      <c r="E318" s="8">
        <v>10896</v>
      </c>
    </row>
    <row r="319" spans="1:5">
      <c r="A319" s="3" t="s">
        <v>20</v>
      </c>
      <c r="B319" s="3" t="s">
        <v>16</v>
      </c>
      <c r="C319" s="3" t="s">
        <v>31</v>
      </c>
      <c r="D319" s="5">
        <v>44679</v>
      </c>
      <c r="E319" s="8">
        <v>7268</v>
      </c>
    </row>
    <row r="320" spans="1:5">
      <c r="A320" s="3" t="s">
        <v>20</v>
      </c>
      <c r="B320" s="3" t="s">
        <v>16</v>
      </c>
      <c r="C320" s="3" t="s">
        <v>32</v>
      </c>
      <c r="D320" s="5">
        <v>44679</v>
      </c>
      <c r="E320" s="8">
        <v>7200</v>
      </c>
    </row>
    <row r="321" spans="1:5">
      <c r="A321" s="3" t="s">
        <v>20</v>
      </c>
      <c r="B321" s="3" t="s">
        <v>16</v>
      </c>
      <c r="C321" s="3" t="s">
        <v>33</v>
      </c>
      <c r="D321" s="5">
        <v>44679</v>
      </c>
      <c r="E321" s="8" t="s">
        <v>75</v>
      </c>
    </row>
    <row r="322" spans="1:5">
      <c r="A322" s="3" t="s">
        <v>20</v>
      </c>
      <c r="B322" s="3" t="s">
        <v>17</v>
      </c>
      <c r="C322" s="3" t="s">
        <v>17</v>
      </c>
      <c r="D322" s="5">
        <v>44679</v>
      </c>
      <c r="E322" s="8">
        <v>121263</v>
      </c>
    </row>
    <row r="323" spans="1:5">
      <c r="A323" s="3" t="s">
        <v>20</v>
      </c>
      <c r="B323" s="3" t="s">
        <v>17</v>
      </c>
      <c r="C323" s="3" t="s">
        <v>34</v>
      </c>
      <c r="D323" s="5">
        <v>44679</v>
      </c>
      <c r="E323" s="8">
        <v>12051</v>
      </c>
    </row>
    <row r="324" spans="1:5">
      <c r="A324" s="3" t="s">
        <v>20</v>
      </c>
      <c r="B324" s="3" t="s">
        <v>17</v>
      </c>
      <c r="C324" s="3" t="s">
        <v>35</v>
      </c>
      <c r="D324" s="5">
        <v>44679</v>
      </c>
      <c r="E324" s="8">
        <v>5115</v>
      </c>
    </row>
    <row r="325" spans="1:5">
      <c r="A325" s="3" t="s">
        <v>20</v>
      </c>
      <c r="B325" s="3" t="s">
        <v>17</v>
      </c>
      <c r="C325" s="3" t="s">
        <v>88</v>
      </c>
      <c r="D325" s="5">
        <v>44679</v>
      </c>
      <c r="E325" s="8">
        <v>929</v>
      </c>
    </row>
    <row r="326" spans="1:5">
      <c r="A326" s="3" t="s">
        <v>20</v>
      </c>
      <c r="B326" s="3" t="s">
        <v>17</v>
      </c>
      <c r="C326" s="3" t="s">
        <v>37</v>
      </c>
      <c r="D326" s="5">
        <v>44679</v>
      </c>
      <c r="E326" s="8" t="s">
        <v>75</v>
      </c>
    </row>
    <row r="327" spans="1:5">
      <c r="A327" s="3" t="s">
        <v>20</v>
      </c>
      <c r="B327" s="3" t="s">
        <v>18</v>
      </c>
      <c r="C327" s="3" t="s">
        <v>19</v>
      </c>
      <c r="D327" s="5">
        <v>44679</v>
      </c>
      <c r="E327" s="8">
        <v>361786</v>
      </c>
    </row>
    <row r="328" spans="1:5">
      <c r="A328" s="3" t="s">
        <v>20</v>
      </c>
      <c r="B328" s="3" t="s">
        <v>18</v>
      </c>
      <c r="C328" s="3" t="s">
        <v>38</v>
      </c>
      <c r="D328" s="5">
        <v>44679</v>
      </c>
      <c r="E328" s="8">
        <v>4970</v>
      </c>
    </row>
    <row r="329" spans="1:5">
      <c r="A329" s="3" t="s">
        <v>20</v>
      </c>
      <c r="B329" s="3" t="s">
        <v>18</v>
      </c>
      <c r="C329" s="3" t="s">
        <v>39</v>
      </c>
      <c r="D329" s="5">
        <v>44679</v>
      </c>
      <c r="E329" s="8">
        <v>7906</v>
      </c>
    </row>
    <row r="330" spans="1:5">
      <c r="A330" s="3" t="s">
        <v>20</v>
      </c>
      <c r="B330" s="3" t="s">
        <v>18</v>
      </c>
      <c r="C330" s="3" t="s">
        <v>40</v>
      </c>
      <c r="D330" s="5">
        <v>44679</v>
      </c>
      <c r="E330" s="8" t="s">
        <v>75</v>
      </c>
    </row>
    <row r="331" spans="1:5">
      <c r="A331" s="3" t="s">
        <v>20</v>
      </c>
      <c r="B331" s="3" t="s">
        <v>18</v>
      </c>
      <c r="C331" s="3" t="s">
        <v>73</v>
      </c>
      <c r="D331" s="5">
        <v>44679</v>
      </c>
      <c r="E331" s="8" t="s">
        <v>75</v>
      </c>
    </row>
    <row r="332" spans="1:5">
      <c r="A332" s="3" t="s">
        <v>20</v>
      </c>
      <c r="B332" s="3" t="s">
        <v>18</v>
      </c>
      <c r="C332" s="3" t="s">
        <v>41</v>
      </c>
      <c r="D332" s="5">
        <v>44679</v>
      </c>
      <c r="E332" s="8" t="s">
        <v>75</v>
      </c>
    </row>
    <row r="333" spans="1:5">
      <c r="A333" s="3" t="s">
        <v>42</v>
      </c>
      <c r="B333" s="3" t="s">
        <v>2</v>
      </c>
      <c r="C333" s="3" t="s">
        <v>2</v>
      </c>
      <c r="D333" s="5">
        <v>44679</v>
      </c>
      <c r="E333" s="8">
        <v>802700</v>
      </c>
    </row>
    <row r="334" spans="1:5">
      <c r="A334" s="3" t="s">
        <v>42</v>
      </c>
      <c r="B334" s="3" t="s">
        <v>2</v>
      </c>
      <c r="C334" s="3" t="s">
        <v>43</v>
      </c>
      <c r="D334" s="5">
        <v>44679</v>
      </c>
      <c r="E334" s="8">
        <v>564600</v>
      </c>
    </row>
    <row r="335" spans="1:5">
      <c r="A335" s="3" t="s">
        <v>42</v>
      </c>
      <c r="B335" s="3" t="s">
        <v>2</v>
      </c>
      <c r="C335" s="3" t="s">
        <v>83</v>
      </c>
      <c r="D335" s="5">
        <v>44679</v>
      </c>
      <c r="E335" s="8">
        <v>130600</v>
      </c>
    </row>
    <row r="336" spans="1:5">
      <c r="A336" s="3" t="s">
        <v>42</v>
      </c>
      <c r="B336" s="3" t="s">
        <v>2</v>
      </c>
      <c r="C336" s="3" t="s">
        <v>44</v>
      </c>
      <c r="D336" s="5">
        <v>44679</v>
      </c>
      <c r="E336" s="8">
        <v>135900</v>
      </c>
    </row>
    <row r="337" spans="1:5">
      <c r="A337" s="3" t="s">
        <v>42</v>
      </c>
      <c r="B337" s="3" t="s">
        <v>2</v>
      </c>
      <c r="C337" s="3" t="s">
        <v>45</v>
      </c>
      <c r="D337" s="5">
        <v>44679</v>
      </c>
      <c r="E337" s="8">
        <v>157700</v>
      </c>
    </row>
    <row r="338" spans="1:5">
      <c r="A338" s="3" t="s">
        <v>42</v>
      </c>
      <c r="B338" s="3" t="s">
        <v>2</v>
      </c>
      <c r="C338" s="3" t="s">
        <v>80</v>
      </c>
      <c r="D338" s="5">
        <v>44679</v>
      </c>
      <c r="E338" s="8">
        <v>17500</v>
      </c>
    </row>
    <row r="339" spans="1:5">
      <c r="A339" s="3" t="s">
        <v>42</v>
      </c>
      <c r="B339" s="3" t="s">
        <v>3</v>
      </c>
      <c r="C339" s="3" t="s">
        <v>3</v>
      </c>
      <c r="D339" s="5">
        <v>44679</v>
      </c>
      <c r="E339" s="8">
        <v>204400</v>
      </c>
    </row>
    <row r="340" spans="1:5">
      <c r="A340" s="3" t="s">
        <v>42</v>
      </c>
      <c r="B340" s="3" t="s">
        <v>3</v>
      </c>
      <c r="C340" s="3" t="s">
        <v>46</v>
      </c>
      <c r="D340" s="5">
        <v>44679</v>
      </c>
      <c r="E340" s="8">
        <v>116400</v>
      </c>
    </row>
    <row r="341" spans="1:5">
      <c r="A341" s="3" t="s">
        <v>42</v>
      </c>
      <c r="B341" s="3" t="s">
        <v>3</v>
      </c>
      <c r="C341" s="3" t="s">
        <v>4</v>
      </c>
      <c r="D341" s="5">
        <v>44679</v>
      </c>
      <c r="E341" s="8">
        <v>47700</v>
      </c>
    </row>
    <row r="342" spans="1:5">
      <c r="A342" s="3" t="s">
        <v>42</v>
      </c>
      <c r="B342" s="3" t="s">
        <v>3</v>
      </c>
      <c r="C342" s="3" t="s">
        <v>5</v>
      </c>
      <c r="D342" s="5">
        <v>44679</v>
      </c>
      <c r="E342" s="8">
        <v>3362</v>
      </c>
    </row>
    <row r="343" spans="1:5">
      <c r="A343" s="3" t="s">
        <v>42</v>
      </c>
      <c r="B343" s="3" t="s">
        <v>3</v>
      </c>
      <c r="C343" s="3" t="s">
        <v>47</v>
      </c>
      <c r="D343" s="5">
        <v>44679</v>
      </c>
      <c r="E343" s="8">
        <v>6958</v>
      </c>
    </row>
    <row r="344" spans="1:5">
      <c r="A344" s="3" t="s">
        <v>42</v>
      </c>
      <c r="B344" s="3" t="s">
        <v>3</v>
      </c>
      <c r="C344" s="3" t="s">
        <v>48</v>
      </c>
      <c r="D344" s="5">
        <v>44679</v>
      </c>
      <c r="E344" s="8">
        <v>6982</v>
      </c>
    </row>
    <row r="345" spans="1:5">
      <c r="A345" s="3" t="s">
        <v>42</v>
      </c>
      <c r="B345" s="3" t="s">
        <v>3</v>
      </c>
      <c r="C345" s="3" t="s">
        <v>49</v>
      </c>
      <c r="D345" s="5">
        <v>44679</v>
      </c>
      <c r="E345" s="8">
        <v>39400</v>
      </c>
    </row>
    <row r="346" spans="1:5">
      <c r="A346" s="3" t="s">
        <v>42</v>
      </c>
      <c r="B346" s="3" t="s">
        <v>7</v>
      </c>
      <c r="C346" s="3" t="s">
        <v>7</v>
      </c>
      <c r="D346" s="5">
        <v>44679</v>
      </c>
      <c r="E346" s="8">
        <v>394900</v>
      </c>
    </row>
    <row r="347" spans="1:5">
      <c r="A347" s="3" t="s">
        <v>42</v>
      </c>
      <c r="B347" s="3" t="s">
        <v>7</v>
      </c>
      <c r="C347" s="3" t="s">
        <v>50</v>
      </c>
      <c r="D347" s="5">
        <v>44679</v>
      </c>
      <c r="E347" s="8">
        <v>184200</v>
      </c>
    </row>
    <row r="348" spans="1:5">
      <c r="A348" s="3" t="s">
        <v>42</v>
      </c>
      <c r="B348" s="3" t="s">
        <v>7</v>
      </c>
      <c r="C348" s="3" t="s">
        <v>51</v>
      </c>
      <c r="D348" s="5">
        <v>44679</v>
      </c>
      <c r="E348" s="8">
        <v>142900</v>
      </c>
    </row>
    <row r="349" spans="1:5">
      <c r="A349" s="3" t="s">
        <v>42</v>
      </c>
      <c r="B349" s="3" t="s">
        <v>10</v>
      </c>
      <c r="C349" s="3" t="s">
        <v>10</v>
      </c>
      <c r="D349" s="5">
        <v>44679</v>
      </c>
      <c r="E349" s="8">
        <v>913000</v>
      </c>
    </row>
    <row r="350" spans="1:5">
      <c r="A350" s="3" t="s">
        <v>42</v>
      </c>
      <c r="B350" s="3" t="s">
        <v>10</v>
      </c>
      <c r="C350" s="3" t="s">
        <v>52</v>
      </c>
      <c r="D350" s="5">
        <v>44679</v>
      </c>
      <c r="E350" s="8">
        <v>38400</v>
      </c>
    </row>
    <row r="351" spans="1:5">
      <c r="A351" s="3" t="s">
        <v>42</v>
      </c>
      <c r="B351" s="3" t="s">
        <v>10</v>
      </c>
      <c r="C351" s="3" t="s">
        <v>53</v>
      </c>
      <c r="D351" s="5">
        <v>44679</v>
      </c>
      <c r="E351" s="8">
        <v>416000</v>
      </c>
    </row>
    <row r="352" spans="1:5">
      <c r="A352" s="3" t="s">
        <v>42</v>
      </c>
      <c r="B352" s="3" t="s">
        <v>13</v>
      </c>
      <c r="C352" s="3" t="s">
        <v>13</v>
      </c>
      <c r="D352" s="5">
        <v>44679</v>
      </c>
      <c r="E352" s="8">
        <v>338400</v>
      </c>
    </row>
    <row r="353" spans="1:5">
      <c r="A353" s="3" t="s">
        <v>42</v>
      </c>
      <c r="B353" s="3" t="s">
        <v>13</v>
      </c>
      <c r="C353" s="3" t="s">
        <v>54</v>
      </c>
      <c r="D353" s="5">
        <v>44679</v>
      </c>
      <c r="E353" s="8">
        <v>69400</v>
      </c>
    </row>
    <row r="354" spans="1:5">
      <c r="A354" s="3" t="s">
        <v>42</v>
      </c>
      <c r="B354" s="3" t="s">
        <v>13</v>
      </c>
      <c r="C354" s="3" t="s">
        <v>55</v>
      </c>
      <c r="D354" s="5">
        <v>44679</v>
      </c>
      <c r="E354" s="8" t="s">
        <v>75</v>
      </c>
    </row>
    <row r="355" spans="1:5">
      <c r="A355" s="3" t="s">
        <v>42</v>
      </c>
      <c r="B355" s="3" t="s">
        <v>13</v>
      </c>
      <c r="C355" s="3" t="s">
        <v>56</v>
      </c>
      <c r="D355" s="5">
        <v>44679</v>
      </c>
      <c r="E355" s="8">
        <v>21800</v>
      </c>
    </row>
    <row r="356" spans="1:5">
      <c r="A356" s="3" t="s">
        <v>42</v>
      </c>
      <c r="B356" s="3" t="s">
        <v>13</v>
      </c>
      <c r="C356" s="3" t="s">
        <v>57</v>
      </c>
      <c r="D356" s="5">
        <v>44679</v>
      </c>
      <c r="E356" s="8" t="s">
        <v>75</v>
      </c>
    </row>
    <row r="357" spans="1:5">
      <c r="A357" s="3" t="s">
        <v>42</v>
      </c>
      <c r="B357" s="3" t="s">
        <v>16</v>
      </c>
      <c r="C357" s="3" t="s">
        <v>58</v>
      </c>
      <c r="D357" s="5">
        <v>44679</v>
      </c>
      <c r="E357" s="8">
        <v>38000</v>
      </c>
    </row>
    <row r="358" spans="1:5">
      <c r="A358" s="3" t="s">
        <v>42</v>
      </c>
      <c r="B358" s="3" t="s">
        <v>16</v>
      </c>
      <c r="C358" s="3" t="s">
        <v>59</v>
      </c>
      <c r="D358" s="5">
        <v>44679</v>
      </c>
      <c r="E358" s="8">
        <v>44500</v>
      </c>
    </row>
    <row r="359" spans="1:5">
      <c r="A359" s="3" t="s">
        <v>42</v>
      </c>
      <c r="B359" s="3" t="s">
        <v>16</v>
      </c>
      <c r="C359" s="3" t="s">
        <v>60</v>
      </c>
      <c r="D359" s="5">
        <v>44679</v>
      </c>
      <c r="E359" s="8">
        <v>26400</v>
      </c>
    </row>
    <row r="360" spans="1:5">
      <c r="A360" s="3" t="s">
        <v>42</v>
      </c>
      <c r="B360" s="3" t="s">
        <v>86</v>
      </c>
      <c r="C360" s="3" t="s">
        <v>89</v>
      </c>
      <c r="D360" s="5">
        <v>44679</v>
      </c>
      <c r="E360" s="8">
        <v>11200</v>
      </c>
    </row>
    <row r="361" spans="1:5">
      <c r="A361" s="3" t="s">
        <v>42</v>
      </c>
      <c r="B361" s="3" t="s">
        <v>18</v>
      </c>
      <c r="C361" s="3" t="s">
        <v>18</v>
      </c>
      <c r="D361" s="5">
        <v>44679</v>
      </c>
      <c r="E361" s="8">
        <v>44200</v>
      </c>
    </row>
    <row r="362" spans="1:5">
      <c r="A362" s="3" t="s">
        <v>42</v>
      </c>
      <c r="B362" s="3" t="s">
        <v>18</v>
      </c>
      <c r="C362" s="3" t="s">
        <v>62</v>
      </c>
      <c r="D362" s="5">
        <v>44679</v>
      </c>
      <c r="E362" s="8">
        <v>12800</v>
      </c>
    </row>
    <row r="363" spans="1:5">
      <c r="A363" s="3" t="s">
        <v>42</v>
      </c>
      <c r="B363" s="3" t="s">
        <v>18</v>
      </c>
      <c r="C363" s="3" t="s">
        <v>63</v>
      </c>
      <c r="D363" s="5">
        <v>44679</v>
      </c>
      <c r="E363" s="8">
        <v>983</v>
      </c>
    </row>
    <row r="364" spans="1:5">
      <c r="A364" s="3" t="s">
        <v>79</v>
      </c>
      <c r="B364" s="3" t="s">
        <v>2</v>
      </c>
      <c r="C364" s="3" t="s">
        <v>64</v>
      </c>
      <c r="D364" s="5">
        <v>44679</v>
      </c>
      <c r="E364" s="8">
        <v>199000</v>
      </c>
    </row>
    <row r="365" spans="1:5">
      <c r="A365" s="3" t="s">
        <v>79</v>
      </c>
      <c r="B365" s="3" t="s">
        <v>3</v>
      </c>
      <c r="C365" s="3" t="s">
        <v>65</v>
      </c>
      <c r="D365" s="5">
        <v>44679</v>
      </c>
      <c r="E365" s="8">
        <v>110000</v>
      </c>
    </row>
    <row r="366" spans="1:5">
      <c r="A366" s="3" t="s">
        <v>79</v>
      </c>
      <c r="B366" s="3" t="s">
        <v>3</v>
      </c>
      <c r="C366" s="3" t="s">
        <v>66</v>
      </c>
      <c r="D366" s="5">
        <v>44679</v>
      </c>
      <c r="E366" s="8">
        <v>7580</v>
      </c>
    </row>
    <row r="367" spans="1:5">
      <c r="A367" s="3" t="s">
        <v>79</v>
      </c>
      <c r="B367" s="3" t="s">
        <v>3</v>
      </c>
      <c r="C367" s="3" t="s">
        <v>67</v>
      </c>
      <c r="D367" s="5">
        <v>44679</v>
      </c>
      <c r="E367" s="8">
        <v>8048</v>
      </c>
    </row>
    <row r="368" spans="1:5">
      <c r="A368" s="3" t="s">
        <v>79</v>
      </c>
      <c r="B368" s="3" t="s">
        <v>3</v>
      </c>
      <c r="C368" s="3" t="s">
        <v>68</v>
      </c>
      <c r="D368" s="5">
        <v>44679</v>
      </c>
      <c r="E368" s="8">
        <v>18600</v>
      </c>
    </row>
    <row r="369" spans="1:5">
      <c r="A369" s="3" t="s">
        <v>79</v>
      </c>
      <c r="B369" s="3" t="s">
        <v>7</v>
      </c>
      <c r="C369" s="3" t="s">
        <v>69</v>
      </c>
      <c r="D369" s="5">
        <v>44679</v>
      </c>
      <c r="E369" s="8">
        <v>232000</v>
      </c>
    </row>
    <row r="370" spans="1:5">
      <c r="A370" s="3" t="s">
        <v>79</v>
      </c>
      <c r="B370" s="3" t="s">
        <v>10</v>
      </c>
      <c r="C370" s="3" t="s">
        <v>53</v>
      </c>
      <c r="D370" s="5">
        <v>44679</v>
      </c>
      <c r="E370" s="8">
        <v>78600</v>
      </c>
    </row>
    <row r="371" spans="1:5">
      <c r="A371" s="3" t="s">
        <v>79</v>
      </c>
      <c r="B371" s="3" t="s">
        <v>10</v>
      </c>
      <c r="C371" s="3" t="s">
        <v>10</v>
      </c>
      <c r="D371" s="5">
        <v>44679</v>
      </c>
      <c r="E371" s="8">
        <v>89500</v>
      </c>
    </row>
    <row r="372" spans="1:5">
      <c r="A372" s="3" t="s">
        <v>79</v>
      </c>
      <c r="B372" s="3" t="s">
        <v>13</v>
      </c>
      <c r="C372" s="3" t="s">
        <v>70</v>
      </c>
      <c r="D372" s="5">
        <v>44679</v>
      </c>
      <c r="E372" s="8">
        <v>114000</v>
      </c>
    </row>
    <row r="373" spans="1:5">
      <c r="A373" s="3" t="s">
        <v>79</v>
      </c>
      <c r="B373" s="3" t="s">
        <v>16</v>
      </c>
      <c r="C373" s="3" t="s">
        <v>16</v>
      </c>
      <c r="D373" s="5">
        <v>44679</v>
      </c>
      <c r="E373" s="8">
        <v>24200</v>
      </c>
    </row>
    <row r="374" spans="1:5">
      <c r="A374" s="3" t="s">
        <v>79</v>
      </c>
      <c r="B374" s="3" t="s">
        <v>86</v>
      </c>
      <c r="C374" s="3" t="s">
        <v>86</v>
      </c>
      <c r="D374" s="5">
        <v>44679</v>
      </c>
      <c r="E374" s="8">
        <v>37300</v>
      </c>
    </row>
    <row r="375" spans="1:5">
      <c r="A375" s="3" t="s">
        <v>79</v>
      </c>
      <c r="B375" s="3" t="s">
        <v>18</v>
      </c>
      <c r="C375" s="3" t="s">
        <v>72</v>
      </c>
      <c r="D375" s="5">
        <v>44679</v>
      </c>
      <c r="E375" s="8">
        <v>33800</v>
      </c>
    </row>
    <row r="376" spans="1:5">
      <c r="A376" s="3" t="s">
        <v>1</v>
      </c>
      <c r="B376" s="3" t="s">
        <v>2</v>
      </c>
      <c r="C376" s="3" t="s">
        <v>2</v>
      </c>
      <c r="D376" s="5">
        <v>44708</v>
      </c>
      <c r="E376" s="8">
        <v>2774869</v>
      </c>
    </row>
    <row r="377" spans="1:5">
      <c r="A377" s="3" t="s">
        <v>1</v>
      </c>
      <c r="B377" s="3" t="s">
        <v>3</v>
      </c>
      <c r="C377" s="3" t="s">
        <v>3</v>
      </c>
      <c r="D377" s="5">
        <v>44708</v>
      </c>
      <c r="E377" s="8">
        <v>3944152</v>
      </c>
    </row>
    <row r="378" spans="1:5">
      <c r="A378" s="3" t="s">
        <v>1</v>
      </c>
      <c r="B378" s="3" t="s">
        <v>3</v>
      </c>
      <c r="C378" s="3" t="s">
        <v>4</v>
      </c>
      <c r="D378" s="5">
        <v>44708</v>
      </c>
      <c r="E378" s="8">
        <v>96663</v>
      </c>
    </row>
    <row r="379" spans="1:5">
      <c r="A379" s="3" t="s">
        <v>1</v>
      </c>
      <c r="B379" s="3" t="s">
        <v>3</v>
      </c>
      <c r="C379" s="3" t="s">
        <v>5</v>
      </c>
      <c r="D379" s="5">
        <v>44708</v>
      </c>
      <c r="E379" s="8">
        <v>14832</v>
      </c>
    </row>
    <row r="380" spans="1:5">
      <c r="A380" s="3" t="s">
        <v>1</v>
      </c>
      <c r="B380" s="3" t="s">
        <v>3</v>
      </c>
      <c r="C380" s="3" t="s">
        <v>6</v>
      </c>
      <c r="D380" s="5">
        <v>44708</v>
      </c>
      <c r="E380" s="8">
        <v>159632</v>
      </c>
    </row>
    <row r="381" spans="1:5">
      <c r="A381" s="3" t="s">
        <v>1</v>
      </c>
      <c r="B381" s="3" t="s">
        <v>7</v>
      </c>
      <c r="C381" s="3" t="s">
        <v>7</v>
      </c>
      <c r="D381" s="5">
        <v>44708</v>
      </c>
      <c r="E381" s="8">
        <v>3694950</v>
      </c>
    </row>
    <row r="382" spans="1:5">
      <c r="A382" s="3" t="s">
        <v>1</v>
      </c>
      <c r="B382" s="3" t="s">
        <v>7</v>
      </c>
      <c r="C382" s="3" t="s">
        <v>8</v>
      </c>
      <c r="D382" s="5">
        <v>44708</v>
      </c>
      <c r="E382" s="8">
        <v>407314</v>
      </c>
    </row>
    <row r="383" spans="1:5">
      <c r="A383" s="3" t="s">
        <v>1</v>
      </c>
      <c r="B383" s="3" t="s">
        <v>7</v>
      </c>
      <c r="C383" s="3" t="s">
        <v>9</v>
      </c>
      <c r="D383" s="5">
        <v>44708</v>
      </c>
      <c r="E383" s="8">
        <v>211882</v>
      </c>
    </row>
    <row r="384" spans="1:5">
      <c r="A384" s="3" t="s">
        <v>1</v>
      </c>
      <c r="B384" s="3" t="s">
        <v>10</v>
      </c>
      <c r="C384" s="3" t="s">
        <v>10</v>
      </c>
      <c r="D384" s="5">
        <v>44708</v>
      </c>
      <c r="E384" s="8">
        <v>1201378</v>
      </c>
    </row>
    <row r="385" spans="1:5">
      <c r="A385" s="3" t="s">
        <v>1</v>
      </c>
      <c r="B385" s="3" t="s">
        <v>10</v>
      </c>
      <c r="C385" s="3" t="s">
        <v>11</v>
      </c>
      <c r="D385" s="5">
        <v>44708</v>
      </c>
      <c r="E385" s="8">
        <v>1142056</v>
      </c>
    </row>
    <row r="386" spans="1:5">
      <c r="A386" s="3" t="s">
        <v>1</v>
      </c>
      <c r="B386" s="3" t="s">
        <v>10</v>
      </c>
      <c r="C386" s="3" t="s">
        <v>12</v>
      </c>
      <c r="D386" s="5">
        <v>44708</v>
      </c>
      <c r="E386" s="8">
        <v>215622</v>
      </c>
    </row>
    <row r="387" spans="1:5">
      <c r="A387" s="3" t="s">
        <v>1</v>
      </c>
      <c r="B387" s="3" t="s">
        <v>13</v>
      </c>
      <c r="C387" s="3" t="s">
        <v>13</v>
      </c>
      <c r="D387" s="5">
        <v>44708</v>
      </c>
      <c r="E387" s="8">
        <v>1146324</v>
      </c>
    </row>
    <row r="388" spans="1:5">
      <c r="A388" s="3" t="s">
        <v>1</v>
      </c>
      <c r="B388" s="3" t="s">
        <v>13</v>
      </c>
      <c r="C388" s="3" t="s">
        <v>14</v>
      </c>
      <c r="D388" s="5">
        <v>44708</v>
      </c>
      <c r="E388" s="8">
        <v>191854</v>
      </c>
    </row>
    <row r="389" spans="1:5">
      <c r="A389" s="3" t="s">
        <v>1</v>
      </c>
      <c r="B389" s="3" t="s">
        <v>13</v>
      </c>
      <c r="C389" s="3" t="s">
        <v>15</v>
      </c>
      <c r="D389" s="5">
        <v>44708</v>
      </c>
      <c r="E389" s="8">
        <v>1070</v>
      </c>
    </row>
    <row r="390" spans="1:5">
      <c r="A390" s="3" t="s">
        <v>1</v>
      </c>
      <c r="B390" s="3" t="s">
        <v>16</v>
      </c>
      <c r="C390" s="3" t="s">
        <v>16</v>
      </c>
      <c r="D390" s="5">
        <v>44708</v>
      </c>
      <c r="E390" s="8">
        <v>341153</v>
      </c>
    </row>
    <row r="391" spans="1:5">
      <c r="A391" s="3" t="s">
        <v>1</v>
      </c>
      <c r="B391" s="3" t="s">
        <v>86</v>
      </c>
      <c r="C391" s="3" t="s">
        <v>86</v>
      </c>
      <c r="D391" s="5">
        <v>44708</v>
      </c>
      <c r="E391" s="8">
        <v>353390</v>
      </c>
    </row>
    <row r="392" spans="1:5">
      <c r="A392" s="3" t="s">
        <v>1</v>
      </c>
      <c r="B392" s="3" t="s">
        <v>18</v>
      </c>
      <c r="C392" s="3" t="s">
        <v>19</v>
      </c>
      <c r="D392" s="5">
        <v>44708</v>
      </c>
      <c r="E392" s="8">
        <v>327612</v>
      </c>
    </row>
    <row r="393" spans="1:5">
      <c r="A393" s="3" t="s">
        <v>20</v>
      </c>
      <c r="B393" s="3" t="s">
        <v>2</v>
      </c>
      <c r="C393" s="3" t="s">
        <v>2</v>
      </c>
      <c r="D393" s="5">
        <v>44708</v>
      </c>
      <c r="E393" s="8">
        <v>2774869</v>
      </c>
    </row>
    <row r="394" spans="1:5">
      <c r="A394" s="3" t="s">
        <v>20</v>
      </c>
      <c r="B394" s="3" t="s">
        <v>2</v>
      </c>
      <c r="C394" s="3" t="s">
        <v>21</v>
      </c>
      <c r="D394" s="5">
        <v>44708</v>
      </c>
      <c r="E394" s="50">
        <v>323163</v>
      </c>
    </row>
    <row r="395" spans="1:5">
      <c r="A395" s="3" t="s">
        <v>20</v>
      </c>
      <c r="B395" s="3" t="s">
        <v>2</v>
      </c>
      <c r="C395" s="3" t="s">
        <v>22</v>
      </c>
      <c r="D395" s="5">
        <v>44708</v>
      </c>
      <c r="E395" s="8">
        <v>297107</v>
      </c>
    </row>
    <row r="396" spans="1:5">
      <c r="A396" s="3" t="s">
        <v>20</v>
      </c>
      <c r="B396" s="3" t="s">
        <v>2</v>
      </c>
      <c r="C396" s="3" t="s">
        <v>23</v>
      </c>
      <c r="D396" s="5">
        <v>44708</v>
      </c>
      <c r="E396" s="8">
        <v>637269</v>
      </c>
    </row>
    <row r="397" spans="1:5">
      <c r="A397" s="3" t="s">
        <v>20</v>
      </c>
      <c r="B397" s="3" t="s">
        <v>2</v>
      </c>
      <c r="C397" s="3" t="s">
        <v>24</v>
      </c>
      <c r="D397" s="5">
        <v>44708</v>
      </c>
      <c r="E397" s="8">
        <v>19820</v>
      </c>
    </row>
    <row r="398" spans="1:5">
      <c r="A398" s="3" t="s">
        <v>20</v>
      </c>
      <c r="B398" s="3" t="s">
        <v>3</v>
      </c>
      <c r="C398" s="3" t="s">
        <v>3</v>
      </c>
      <c r="D398" s="5">
        <v>44708</v>
      </c>
      <c r="E398" s="8">
        <v>551759</v>
      </c>
    </row>
    <row r="399" spans="1:5">
      <c r="A399" s="3" t="s">
        <v>20</v>
      </c>
      <c r="B399" s="3" t="s">
        <v>3</v>
      </c>
      <c r="C399" s="3" t="s">
        <v>25</v>
      </c>
      <c r="D399" s="5">
        <v>44708</v>
      </c>
      <c r="E399" s="8">
        <v>29933</v>
      </c>
    </row>
    <row r="400" spans="1:5">
      <c r="A400" s="3" t="s">
        <v>20</v>
      </c>
      <c r="B400" s="3" t="s">
        <v>7</v>
      </c>
      <c r="C400" s="3" t="s">
        <v>7</v>
      </c>
      <c r="D400" s="5">
        <v>44708</v>
      </c>
      <c r="E400" s="8">
        <v>353706</v>
      </c>
    </row>
    <row r="401" spans="1:5">
      <c r="A401" s="3" t="s">
        <v>20</v>
      </c>
      <c r="B401" s="3" t="s">
        <v>7</v>
      </c>
      <c r="C401" s="3" t="s">
        <v>8</v>
      </c>
      <c r="D401" s="5">
        <v>44708</v>
      </c>
      <c r="E401" s="8">
        <v>3078994</v>
      </c>
    </row>
    <row r="402" spans="1:5">
      <c r="A402" s="3" t="s">
        <v>20</v>
      </c>
      <c r="B402" s="3" t="s">
        <v>7</v>
      </c>
      <c r="C402" s="3" t="s">
        <v>26</v>
      </c>
      <c r="D402" s="5">
        <v>44708</v>
      </c>
      <c r="E402" s="8">
        <v>37284</v>
      </c>
    </row>
    <row r="403" spans="1:5">
      <c r="A403" s="3" t="s">
        <v>20</v>
      </c>
      <c r="B403" s="3" t="s">
        <v>10</v>
      </c>
      <c r="C403" s="3" t="s">
        <v>10</v>
      </c>
      <c r="D403" s="5">
        <v>44708</v>
      </c>
      <c r="E403" s="8">
        <v>3681638</v>
      </c>
    </row>
    <row r="404" spans="1:5">
      <c r="A404" s="3" t="s">
        <v>20</v>
      </c>
      <c r="B404" s="3" t="s">
        <v>10</v>
      </c>
      <c r="C404" s="3" t="s">
        <v>27</v>
      </c>
      <c r="D404" s="5">
        <v>44708</v>
      </c>
      <c r="E404" s="8">
        <v>13612</v>
      </c>
    </row>
    <row r="405" spans="1:5">
      <c r="A405" s="3" t="s">
        <v>20</v>
      </c>
      <c r="B405" s="3" t="s">
        <v>10</v>
      </c>
      <c r="C405" s="3" t="s">
        <v>82</v>
      </c>
      <c r="D405" s="5">
        <v>44708</v>
      </c>
      <c r="E405" s="8">
        <v>51511</v>
      </c>
    </row>
    <row r="406" spans="1:5">
      <c r="A406" s="3" t="s">
        <v>20</v>
      </c>
      <c r="B406" s="3" t="s">
        <v>13</v>
      </c>
      <c r="C406" s="3" t="s">
        <v>13</v>
      </c>
      <c r="D406" s="5">
        <v>44708</v>
      </c>
      <c r="E406" s="8">
        <v>1834606</v>
      </c>
    </row>
    <row r="407" spans="1:5">
      <c r="A407" s="3" t="s">
        <v>20</v>
      </c>
      <c r="B407" s="3" t="s">
        <v>13</v>
      </c>
      <c r="C407" s="3" t="s">
        <v>81</v>
      </c>
      <c r="D407" s="5">
        <v>44708</v>
      </c>
      <c r="E407" s="8">
        <v>100946</v>
      </c>
    </row>
    <row r="408" spans="1:5">
      <c r="A408" s="3" t="s">
        <v>20</v>
      </c>
      <c r="B408" s="3" t="s">
        <v>13</v>
      </c>
      <c r="C408" s="3" t="s">
        <v>28</v>
      </c>
      <c r="D408" s="5">
        <v>44708</v>
      </c>
      <c r="E408" s="8" t="s">
        <v>75</v>
      </c>
    </row>
    <row r="409" spans="1:5">
      <c r="A409" s="3" t="s">
        <v>20</v>
      </c>
      <c r="B409" s="3" t="s">
        <v>16</v>
      </c>
      <c r="C409" s="3" t="s">
        <v>16</v>
      </c>
      <c r="D409" s="5">
        <v>44708</v>
      </c>
      <c r="E409" s="8">
        <v>234344</v>
      </c>
    </row>
    <row r="410" spans="1:5">
      <c r="A410" s="3" t="s">
        <v>20</v>
      </c>
      <c r="B410" s="3" t="s">
        <v>16</v>
      </c>
      <c r="C410" s="3" t="s">
        <v>29</v>
      </c>
      <c r="D410" s="5">
        <v>44708</v>
      </c>
      <c r="E410" s="8">
        <v>13797</v>
      </c>
    </row>
    <row r="411" spans="1:5">
      <c r="A411" s="3" t="s">
        <v>20</v>
      </c>
      <c r="B411" s="3" t="s">
        <v>16</v>
      </c>
      <c r="C411" s="3" t="s">
        <v>30</v>
      </c>
      <c r="D411" s="5">
        <v>44708</v>
      </c>
      <c r="E411" s="8">
        <v>11008</v>
      </c>
    </row>
    <row r="412" spans="1:5">
      <c r="A412" s="3" t="s">
        <v>20</v>
      </c>
      <c r="B412" s="3" t="s">
        <v>16</v>
      </c>
      <c r="C412" s="3" t="s">
        <v>31</v>
      </c>
      <c r="D412" s="5">
        <v>44708</v>
      </c>
      <c r="E412" s="8">
        <v>7397</v>
      </c>
    </row>
    <row r="413" spans="1:5">
      <c r="A413" s="3" t="s">
        <v>20</v>
      </c>
      <c r="B413" s="3" t="s">
        <v>16</v>
      </c>
      <c r="C413" s="3" t="s">
        <v>32</v>
      </c>
      <c r="D413" s="5">
        <v>44708</v>
      </c>
      <c r="E413" s="8">
        <v>7388</v>
      </c>
    </row>
    <row r="414" spans="1:5">
      <c r="A414" s="3" t="s">
        <v>20</v>
      </c>
      <c r="B414" s="3" t="s">
        <v>16</v>
      </c>
      <c r="C414" s="3" t="s">
        <v>33</v>
      </c>
      <c r="D414" s="5">
        <v>44708</v>
      </c>
      <c r="E414" s="8" t="s">
        <v>75</v>
      </c>
    </row>
    <row r="415" spans="1:5">
      <c r="A415" s="3" t="s">
        <v>20</v>
      </c>
      <c r="B415" s="3" t="s">
        <v>86</v>
      </c>
      <c r="C415" s="3" t="s">
        <v>86</v>
      </c>
      <c r="D415" s="5">
        <v>44708</v>
      </c>
      <c r="E415" s="8">
        <v>75749</v>
      </c>
    </row>
    <row r="416" spans="1:5">
      <c r="A416" s="3" t="s">
        <v>20</v>
      </c>
      <c r="B416" s="3" t="s">
        <v>86</v>
      </c>
      <c r="C416" s="3" t="s">
        <v>92</v>
      </c>
      <c r="D416" s="5">
        <v>44708</v>
      </c>
      <c r="E416" s="8">
        <v>5600</v>
      </c>
    </row>
    <row r="417" spans="1:5">
      <c r="A417" s="3" t="s">
        <v>20</v>
      </c>
      <c r="B417" s="3" t="s">
        <v>86</v>
      </c>
      <c r="C417" s="3" t="s">
        <v>93</v>
      </c>
      <c r="D417" s="5">
        <v>44708</v>
      </c>
      <c r="E417" s="8">
        <v>8399</v>
      </c>
    </row>
    <row r="418" spans="1:5">
      <c r="A418" s="3" t="s">
        <v>20</v>
      </c>
      <c r="B418" s="3" t="s">
        <v>86</v>
      </c>
      <c r="C418" s="3" t="s">
        <v>94</v>
      </c>
      <c r="D418" s="5">
        <v>44708</v>
      </c>
      <c r="E418" s="8">
        <v>7635</v>
      </c>
    </row>
    <row r="419" spans="1:5">
      <c r="A419" s="3" t="s">
        <v>20</v>
      </c>
      <c r="B419" s="3" t="s">
        <v>86</v>
      </c>
      <c r="C419" s="3" t="s">
        <v>95</v>
      </c>
      <c r="D419" s="5">
        <v>44708</v>
      </c>
      <c r="E419" s="8">
        <v>9725</v>
      </c>
    </row>
    <row r="420" spans="1:5">
      <c r="A420" s="3" t="s">
        <v>20</v>
      </c>
      <c r="B420" s="3" t="s">
        <v>18</v>
      </c>
      <c r="C420" s="3" t="s">
        <v>19</v>
      </c>
      <c r="D420" s="5">
        <v>44708</v>
      </c>
      <c r="E420" s="8">
        <v>366572</v>
      </c>
    </row>
    <row r="421" spans="1:5">
      <c r="A421" s="3" t="s">
        <v>20</v>
      </c>
      <c r="B421" s="3" t="s">
        <v>18</v>
      </c>
      <c r="C421" s="3" t="s">
        <v>38</v>
      </c>
      <c r="D421" s="5">
        <v>44708</v>
      </c>
      <c r="E421" s="8">
        <v>5065</v>
      </c>
    </row>
    <row r="422" spans="1:5">
      <c r="A422" s="3" t="s">
        <v>20</v>
      </c>
      <c r="B422" s="3" t="s">
        <v>18</v>
      </c>
      <c r="C422" s="3" t="s">
        <v>39</v>
      </c>
      <c r="D422" s="5">
        <v>44708</v>
      </c>
      <c r="E422" s="8">
        <v>8050</v>
      </c>
    </row>
    <row r="423" spans="1:5">
      <c r="A423" s="3" t="s">
        <v>20</v>
      </c>
      <c r="B423" s="3" t="s">
        <v>18</v>
      </c>
      <c r="C423" s="3" t="s">
        <v>40</v>
      </c>
      <c r="D423" s="5">
        <v>44708</v>
      </c>
      <c r="E423" s="8">
        <v>4023</v>
      </c>
    </row>
    <row r="424" spans="1:5">
      <c r="A424" s="3" t="s">
        <v>20</v>
      </c>
      <c r="B424" s="3" t="s">
        <v>18</v>
      </c>
      <c r="C424" s="3" t="s">
        <v>73</v>
      </c>
      <c r="D424" s="5">
        <v>44708</v>
      </c>
      <c r="E424" s="8">
        <v>871</v>
      </c>
    </row>
    <row r="425" spans="1:5">
      <c r="A425" s="3" t="s">
        <v>20</v>
      </c>
      <c r="B425" s="3" t="s">
        <v>18</v>
      </c>
      <c r="C425" s="3" t="s">
        <v>41</v>
      </c>
      <c r="D425" s="5">
        <v>44708</v>
      </c>
      <c r="E425" s="8">
        <v>10995</v>
      </c>
    </row>
    <row r="426" spans="1:5">
      <c r="A426" s="3" t="s">
        <v>42</v>
      </c>
      <c r="B426" s="3" t="s">
        <v>2</v>
      </c>
      <c r="C426" s="3" t="s">
        <v>2</v>
      </c>
      <c r="D426" s="5">
        <v>44708</v>
      </c>
      <c r="E426" s="8">
        <v>804800</v>
      </c>
    </row>
    <row r="427" spans="1:5">
      <c r="A427" s="3" t="s">
        <v>42</v>
      </c>
      <c r="B427" s="3" t="s">
        <v>2</v>
      </c>
      <c r="C427" s="3" t="s">
        <v>43</v>
      </c>
      <c r="D427" s="5">
        <v>44708</v>
      </c>
      <c r="E427" s="8">
        <v>564700</v>
      </c>
    </row>
    <row r="428" spans="1:5">
      <c r="A428" s="3" t="s">
        <v>42</v>
      </c>
      <c r="B428" s="3" t="s">
        <v>2</v>
      </c>
      <c r="C428" s="3" t="s">
        <v>83</v>
      </c>
      <c r="D428" s="5">
        <v>44708</v>
      </c>
      <c r="E428" s="8">
        <v>131000</v>
      </c>
    </row>
    <row r="429" spans="1:5">
      <c r="A429" s="3" t="s">
        <v>42</v>
      </c>
      <c r="B429" s="3" t="s">
        <v>2</v>
      </c>
      <c r="C429" s="3" t="s">
        <v>44</v>
      </c>
      <c r="D429" s="5">
        <v>44708</v>
      </c>
      <c r="E429" s="8">
        <v>136100</v>
      </c>
    </row>
    <row r="430" spans="1:5">
      <c r="A430" s="3" t="s">
        <v>42</v>
      </c>
      <c r="B430" s="3" t="s">
        <v>2</v>
      </c>
      <c r="C430" s="3" t="s">
        <v>45</v>
      </c>
      <c r="D430" s="5">
        <v>44708</v>
      </c>
      <c r="E430" s="8">
        <v>157500</v>
      </c>
    </row>
    <row r="431" spans="1:5">
      <c r="A431" s="3" t="s">
        <v>42</v>
      </c>
      <c r="B431" s="3" t="s">
        <v>2</v>
      </c>
      <c r="C431" s="3" t="s">
        <v>80</v>
      </c>
      <c r="D431" s="5">
        <v>44708</v>
      </c>
      <c r="E431" s="8">
        <v>17500</v>
      </c>
    </row>
    <row r="432" spans="1:5">
      <c r="A432" s="3" t="s">
        <v>42</v>
      </c>
      <c r="B432" s="3" t="s">
        <v>3</v>
      </c>
      <c r="C432" s="3" t="s">
        <v>3</v>
      </c>
      <c r="D432" s="5">
        <v>44708</v>
      </c>
      <c r="E432" s="8">
        <v>204800</v>
      </c>
    </row>
    <row r="433" spans="1:5">
      <c r="A433" s="3" t="s">
        <v>42</v>
      </c>
      <c r="B433" s="3" t="s">
        <v>3</v>
      </c>
      <c r="C433" s="3" t="s">
        <v>46</v>
      </c>
      <c r="D433" s="5">
        <v>44708</v>
      </c>
      <c r="E433" s="8">
        <v>116600</v>
      </c>
    </row>
    <row r="434" spans="1:5">
      <c r="A434" s="3" t="s">
        <v>42</v>
      </c>
      <c r="B434" s="3" t="s">
        <v>3</v>
      </c>
      <c r="C434" s="3" t="s">
        <v>4</v>
      </c>
      <c r="D434" s="5">
        <v>44708</v>
      </c>
      <c r="E434" s="8">
        <v>47600</v>
      </c>
    </row>
    <row r="435" spans="1:5">
      <c r="A435" s="3" t="s">
        <v>42</v>
      </c>
      <c r="B435" s="3" t="s">
        <v>3</v>
      </c>
      <c r="C435" s="3" t="s">
        <v>5</v>
      </c>
      <c r="D435" s="5">
        <v>44708</v>
      </c>
      <c r="E435" s="8">
        <v>3367</v>
      </c>
    </row>
    <row r="436" spans="1:5">
      <c r="A436" s="3" t="s">
        <v>42</v>
      </c>
      <c r="B436" s="3" t="s">
        <v>3</v>
      </c>
      <c r="C436" s="3" t="s">
        <v>47</v>
      </c>
      <c r="D436" s="5">
        <v>44708</v>
      </c>
      <c r="E436" s="8">
        <v>7009</v>
      </c>
    </row>
    <row r="437" spans="1:5">
      <c r="A437" s="3" t="s">
        <v>42</v>
      </c>
      <c r="B437" s="3" t="s">
        <v>3</v>
      </c>
      <c r="C437" s="3" t="s">
        <v>48</v>
      </c>
      <c r="D437" s="5">
        <v>44708</v>
      </c>
      <c r="E437" s="8">
        <v>6962</v>
      </c>
    </row>
    <row r="438" spans="1:5">
      <c r="A438" s="3" t="s">
        <v>42</v>
      </c>
      <c r="B438" s="3" t="s">
        <v>3</v>
      </c>
      <c r="C438" s="3" t="s">
        <v>49</v>
      </c>
      <c r="D438" s="5">
        <v>44708</v>
      </c>
      <c r="E438" s="8">
        <v>39400</v>
      </c>
    </row>
    <row r="439" spans="1:5">
      <c r="A439" s="3" t="s">
        <v>42</v>
      </c>
      <c r="B439" s="3" t="s">
        <v>7</v>
      </c>
      <c r="C439" s="3" t="s">
        <v>7</v>
      </c>
      <c r="D439" s="5">
        <v>44708</v>
      </c>
      <c r="E439" s="8">
        <v>395900</v>
      </c>
    </row>
    <row r="440" spans="1:5">
      <c r="A440" s="3" t="s">
        <v>42</v>
      </c>
      <c r="B440" s="3" t="s">
        <v>7</v>
      </c>
      <c r="C440" s="3" t="s">
        <v>50</v>
      </c>
      <c r="D440" s="5">
        <v>44708</v>
      </c>
      <c r="E440" s="8">
        <v>183900</v>
      </c>
    </row>
    <row r="441" spans="1:5">
      <c r="A441" s="3" t="s">
        <v>42</v>
      </c>
      <c r="B441" s="3" t="s">
        <v>7</v>
      </c>
      <c r="C441" s="3" t="s">
        <v>51</v>
      </c>
      <c r="D441" s="5">
        <v>44708</v>
      </c>
      <c r="E441" s="8">
        <v>143600</v>
      </c>
    </row>
    <row r="442" spans="1:5">
      <c r="A442" s="3" t="s">
        <v>42</v>
      </c>
      <c r="B442" s="3" t="s">
        <v>10</v>
      </c>
      <c r="C442" s="3" t="s">
        <v>10</v>
      </c>
      <c r="D442" s="5">
        <v>44708</v>
      </c>
      <c r="E442" s="8">
        <v>914200</v>
      </c>
    </row>
    <row r="443" spans="1:5">
      <c r="A443" s="3" t="s">
        <v>42</v>
      </c>
      <c r="B443" s="3" t="s">
        <v>10</v>
      </c>
      <c r="C443" s="3" t="s">
        <v>52</v>
      </c>
      <c r="D443" s="5">
        <v>44708</v>
      </c>
      <c r="E443" s="8">
        <v>38600</v>
      </c>
    </row>
    <row r="444" spans="1:5">
      <c r="A444" s="3" t="s">
        <v>42</v>
      </c>
      <c r="B444" s="3" t="s">
        <v>10</v>
      </c>
      <c r="C444" s="3" t="s">
        <v>53</v>
      </c>
      <c r="D444" s="5">
        <v>44708</v>
      </c>
      <c r="E444" s="8">
        <v>417000</v>
      </c>
    </row>
    <row r="445" spans="1:5">
      <c r="A445" s="3" t="s">
        <v>42</v>
      </c>
      <c r="B445" s="3" t="s">
        <v>13</v>
      </c>
      <c r="C445" s="3" t="s">
        <v>13</v>
      </c>
      <c r="D445" s="5">
        <v>44708</v>
      </c>
      <c r="E445" s="8">
        <v>339300</v>
      </c>
    </row>
    <row r="446" spans="1:5">
      <c r="A446" s="3" t="s">
        <v>42</v>
      </c>
      <c r="B446" s="3" t="s">
        <v>13</v>
      </c>
      <c r="C446" s="3" t="s">
        <v>54</v>
      </c>
      <c r="D446" s="5">
        <v>44708</v>
      </c>
      <c r="E446" s="8">
        <v>69400</v>
      </c>
    </row>
    <row r="447" spans="1:5">
      <c r="A447" s="3" t="s">
        <v>42</v>
      </c>
      <c r="B447" s="3" t="s">
        <v>13</v>
      </c>
      <c r="C447" s="3" t="s">
        <v>55</v>
      </c>
      <c r="D447" s="5">
        <v>44708</v>
      </c>
      <c r="E447" s="8" t="s">
        <v>75</v>
      </c>
    </row>
    <row r="448" spans="1:5">
      <c r="A448" s="3" t="s">
        <v>42</v>
      </c>
      <c r="B448" s="3" t="s">
        <v>13</v>
      </c>
      <c r="C448" s="3" t="s">
        <v>56</v>
      </c>
      <c r="D448" s="5">
        <v>44708</v>
      </c>
      <c r="E448" s="8">
        <v>21800</v>
      </c>
    </row>
    <row r="449" spans="1:5">
      <c r="A449" s="3" t="s">
        <v>42</v>
      </c>
      <c r="B449" s="3" t="s">
        <v>13</v>
      </c>
      <c r="C449" s="3" t="s">
        <v>57</v>
      </c>
      <c r="D449" s="5">
        <v>44708</v>
      </c>
      <c r="E449" s="8" t="s">
        <v>75</v>
      </c>
    </row>
    <row r="450" spans="1:5">
      <c r="A450" s="3" t="s">
        <v>42</v>
      </c>
      <c r="B450" s="3" t="s">
        <v>16</v>
      </c>
      <c r="C450" s="3" t="s">
        <v>58</v>
      </c>
      <c r="D450" s="5">
        <v>44708</v>
      </c>
      <c r="E450" s="8">
        <v>38200</v>
      </c>
    </row>
    <row r="451" spans="1:5">
      <c r="A451" s="3" t="s">
        <v>42</v>
      </c>
      <c r="B451" s="3" t="s">
        <v>16</v>
      </c>
      <c r="C451" s="3" t="s">
        <v>59</v>
      </c>
      <c r="D451" s="5">
        <v>44708</v>
      </c>
      <c r="E451" s="8">
        <v>44800</v>
      </c>
    </row>
    <row r="452" spans="1:5">
      <c r="A452" s="3" t="s">
        <v>42</v>
      </c>
      <c r="B452" s="3" t="s">
        <v>16</v>
      </c>
      <c r="C452" s="3" t="s">
        <v>60</v>
      </c>
      <c r="D452" s="5">
        <v>44708</v>
      </c>
      <c r="E452" s="8">
        <v>26400</v>
      </c>
    </row>
    <row r="453" spans="1:5">
      <c r="A453" s="3" t="s">
        <v>42</v>
      </c>
      <c r="B453" s="3" t="s">
        <v>86</v>
      </c>
      <c r="C453" s="3" t="s">
        <v>89</v>
      </c>
      <c r="D453" s="5">
        <v>44708</v>
      </c>
      <c r="E453" s="8">
        <v>11600</v>
      </c>
    </row>
    <row r="454" spans="1:5">
      <c r="A454" s="3" t="s">
        <v>42</v>
      </c>
      <c r="B454" s="3" t="s">
        <v>18</v>
      </c>
      <c r="C454" s="3" t="s">
        <v>18</v>
      </c>
      <c r="D454" s="5">
        <v>44708</v>
      </c>
      <c r="E454" s="8">
        <v>44400</v>
      </c>
    </row>
    <row r="455" spans="1:5">
      <c r="A455" s="3" t="s">
        <v>42</v>
      </c>
      <c r="B455" s="3" t="s">
        <v>18</v>
      </c>
      <c r="C455" s="3" t="s">
        <v>62</v>
      </c>
      <c r="D455" s="5">
        <v>44708</v>
      </c>
      <c r="E455" s="8">
        <v>12800</v>
      </c>
    </row>
    <row r="456" spans="1:5">
      <c r="A456" s="3" t="s">
        <v>42</v>
      </c>
      <c r="B456" s="3" t="s">
        <v>18</v>
      </c>
      <c r="C456" s="3" t="s">
        <v>63</v>
      </c>
      <c r="D456" s="5">
        <v>44708</v>
      </c>
      <c r="E456" s="8">
        <v>986</v>
      </c>
    </row>
    <row r="457" spans="1:5">
      <c r="A457" s="3" t="s">
        <v>79</v>
      </c>
      <c r="B457" s="3" t="s">
        <v>2</v>
      </c>
      <c r="C457" s="3" t="s">
        <v>64</v>
      </c>
      <c r="D457" s="5">
        <v>44708</v>
      </c>
      <c r="E457" s="8">
        <v>203000</v>
      </c>
    </row>
    <row r="458" spans="1:5">
      <c r="A458" s="3" t="s">
        <v>79</v>
      </c>
      <c r="B458" s="3" t="s">
        <v>3</v>
      </c>
      <c r="C458" s="3" t="s">
        <v>65</v>
      </c>
      <c r="D458" s="5">
        <v>44708</v>
      </c>
      <c r="E458" s="8">
        <v>113000</v>
      </c>
    </row>
    <row r="459" spans="1:5">
      <c r="A459" s="3" t="s">
        <v>79</v>
      </c>
      <c r="B459" s="3" t="s">
        <v>3</v>
      </c>
      <c r="C459" s="3" t="s">
        <v>66</v>
      </c>
      <c r="D459" s="5">
        <v>44708</v>
      </c>
      <c r="E459" s="8">
        <v>7704</v>
      </c>
    </row>
    <row r="460" spans="1:5">
      <c r="A460" s="3" t="s">
        <v>79</v>
      </c>
      <c r="B460" s="3" t="s">
        <v>3</v>
      </c>
      <c r="C460" s="3" t="s">
        <v>67</v>
      </c>
      <c r="D460" s="5">
        <v>44708</v>
      </c>
      <c r="E460" s="8">
        <v>8139</v>
      </c>
    </row>
    <row r="461" spans="1:5">
      <c r="A461" s="3" t="s">
        <v>79</v>
      </c>
      <c r="B461" s="3" t="s">
        <v>3</v>
      </c>
      <c r="C461" s="3" t="s">
        <v>68</v>
      </c>
      <c r="D461" s="5">
        <v>44708</v>
      </c>
      <c r="E461" s="8">
        <v>19900</v>
      </c>
    </row>
    <row r="462" spans="1:5">
      <c r="A462" s="3" t="s">
        <v>79</v>
      </c>
      <c r="B462" s="3" t="s">
        <v>7</v>
      </c>
      <c r="C462" s="3" t="s">
        <v>69</v>
      </c>
      <c r="D462" s="5">
        <v>44708</v>
      </c>
      <c r="E462" s="8">
        <v>235000</v>
      </c>
    </row>
    <row r="463" spans="1:5">
      <c r="A463" s="3" t="s">
        <v>79</v>
      </c>
      <c r="B463" s="3" t="s">
        <v>10</v>
      </c>
      <c r="C463" s="3" t="s">
        <v>53</v>
      </c>
      <c r="D463" s="5">
        <v>44708</v>
      </c>
      <c r="E463" s="8">
        <v>79500</v>
      </c>
    </row>
    <row r="464" spans="1:5">
      <c r="A464" s="3" t="s">
        <v>79</v>
      </c>
      <c r="B464" s="3" t="s">
        <v>10</v>
      </c>
      <c r="C464" s="3" t="s">
        <v>10</v>
      </c>
      <c r="D464" s="5">
        <v>44708</v>
      </c>
      <c r="E464" s="8">
        <v>92800</v>
      </c>
    </row>
    <row r="465" spans="1:5">
      <c r="A465" s="3" t="s">
        <v>79</v>
      </c>
      <c r="B465" s="3" t="s">
        <v>13</v>
      </c>
      <c r="C465" s="3" t="s">
        <v>70</v>
      </c>
      <c r="D465" s="5">
        <v>44708</v>
      </c>
      <c r="E465" s="8">
        <v>114000</v>
      </c>
    </row>
    <row r="466" spans="1:5">
      <c r="A466" s="3" t="s">
        <v>79</v>
      </c>
      <c r="B466" s="3" t="s">
        <v>16</v>
      </c>
      <c r="C466" s="3" t="s">
        <v>16</v>
      </c>
      <c r="D466" s="5">
        <v>44708</v>
      </c>
      <c r="E466" s="8">
        <v>24500</v>
      </c>
    </row>
    <row r="467" spans="1:5">
      <c r="A467" s="3" t="s">
        <v>79</v>
      </c>
      <c r="B467" s="3" t="s">
        <v>86</v>
      </c>
      <c r="C467" s="3" t="s">
        <v>86</v>
      </c>
      <c r="D467" s="5">
        <v>44708</v>
      </c>
      <c r="E467" s="8">
        <v>38000</v>
      </c>
    </row>
    <row r="468" spans="1:5">
      <c r="A468" s="3" t="s">
        <v>79</v>
      </c>
      <c r="B468" s="3" t="s">
        <v>18</v>
      </c>
      <c r="C468" s="3" t="s">
        <v>72</v>
      </c>
      <c r="D468" s="5">
        <v>44708</v>
      </c>
      <c r="E468" s="8">
        <v>34400</v>
      </c>
    </row>
    <row r="469" spans="1:5">
      <c r="A469" s="3" t="s">
        <v>1</v>
      </c>
      <c r="B469" s="3" t="s">
        <v>2</v>
      </c>
      <c r="C469" s="3" t="s">
        <v>2</v>
      </c>
      <c r="D469" s="5">
        <v>44739</v>
      </c>
      <c r="E469" s="8">
        <v>2771783</v>
      </c>
    </row>
    <row r="470" spans="1:5">
      <c r="A470" s="3" t="s">
        <v>1</v>
      </c>
      <c r="B470" s="3" t="s">
        <v>3</v>
      </c>
      <c r="C470" s="3" t="s">
        <v>3</v>
      </c>
      <c r="D470" s="5">
        <v>44739</v>
      </c>
      <c r="E470" s="8">
        <v>3942104</v>
      </c>
    </row>
    <row r="471" spans="1:5">
      <c r="A471" s="3" t="s">
        <v>1</v>
      </c>
      <c r="B471" s="3" t="s">
        <v>3</v>
      </c>
      <c r="C471" s="3" t="s">
        <v>4</v>
      </c>
      <c r="D471" s="5">
        <v>44739</v>
      </c>
      <c r="E471" s="8">
        <v>96543</v>
      </c>
    </row>
    <row r="472" spans="1:5">
      <c r="A472" s="3" t="s">
        <v>1</v>
      </c>
      <c r="B472" s="3" t="s">
        <v>3</v>
      </c>
      <c r="C472" s="3" t="s">
        <v>5</v>
      </c>
      <c r="D472" s="5">
        <v>44739</v>
      </c>
      <c r="E472" s="8">
        <v>14844</v>
      </c>
    </row>
    <row r="473" spans="1:5">
      <c r="A473" s="3" t="s">
        <v>1</v>
      </c>
      <c r="B473" s="3" t="s">
        <v>3</v>
      </c>
      <c r="C473" s="3" t="s">
        <v>6</v>
      </c>
      <c r="D473" s="5">
        <v>44739</v>
      </c>
      <c r="E473" s="8">
        <v>159509</v>
      </c>
    </row>
    <row r="474" spans="1:5">
      <c r="A474" s="3" t="s">
        <v>1</v>
      </c>
      <c r="B474" s="3" t="s">
        <v>7</v>
      </c>
      <c r="C474" s="3" t="s">
        <v>7</v>
      </c>
      <c r="D474" s="5">
        <v>44739</v>
      </c>
      <c r="E474" s="8">
        <v>3694322</v>
      </c>
    </row>
    <row r="475" spans="1:5">
      <c r="A475" s="3" t="s">
        <v>1</v>
      </c>
      <c r="B475" s="3" t="s">
        <v>7</v>
      </c>
      <c r="C475" s="3" t="s">
        <v>8</v>
      </c>
      <c r="D475" s="5">
        <v>44739</v>
      </c>
      <c r="E475" s="8">
        <v>408930</v>
      </c>
    </row>
    <row r="476" spans="1:5">
      <c r="A476" s="3" t="s">
        <v>1</v>
      </c>
      <c r="B476" s="3" t="s">
        <v>7</v>
      </c>
      <c r="C476" s="3" t="s">
        <v>9</v>
      </c>
      <c r="D476" s="5">
        <v>44739</v>
      </c>
      <c r="E476" s="8">
        <v>211705</v>
      </c>
    </row>
    <row r="477" spans="1:5">
      <c r="A477" s="3" t="s">
        <v>1</v>
      </c>
      <c r="B477" s="3" t="s">
        <v>10</v>
      </c>
      <c r="C477" s="3" t="s">
        <v>10</v>
      </c>
      <c r="D477" s="5">
        <v>44739</v>
      </c>
      <c r="E477" s="8">
        <v>1202085</v>
      </c>
    </row>
    <row r="478" spans="1:5">
      <c r="A478" s="3" t="s">
        <v>1</v>
      </c>
      <c r="B478" s="3" t="s">
        <v>10</v>
      </c>
      <c r="C478" s="3" t="s">
        <v>11</v>
      </c>
      <c r="D478" s="5">
        <v>44739</v>
      </c>
      <c r="E478" s="8">
        <v>1141647</v>
      </c>
    </row>
    <row r="479" spans="1:5">
      <c r="A479" s="3" t="s">
        <v>1</v>
      </c>
      <c r="B479" s="3" t="s">
        <v>10</v>
      </c>
      <c r="C479" s="3" t="s">
        <v>12</v>
      </c>
      <c r="D479" s="5">
        <v>44739</v>
      </c>
      <c r="E479" s="8">
        <v>215504</v>
      </c>
    </row>
    <row r="480" spans="1:5">
      <c r="A480" s="3" t="s">
        <v>1</v>
      </c>
      <c r="B480" s="3" t="s">
        <v>13</v>
      </c>
      <c r="C480" s="3" t="s">
        <v>13</v>
      </c>
      <c r="D480" s="5">
        <v>44739</v>
      </c>
      <c r="E480" s="8">
        <v>1147764</v>
      </c>
    </row>
    <row r="481" spans="1:5">
      <c r="A481" s="3" t="s">
        <v>1</v>
      </c>
      <c r="B481" s="3" t="s">
        <v>13</v>
      </c>
      <c r="C481" s="3" t="s">
        <v>14</v>
      </c>
      <c r="D481" s="5">
        <v>44739</v>
      </c>
      <c r="E481" s="8">
        <v>191643</v>
      </c>
    </row>
    <row r="482" spans="1:5">
      <c r="A482" s="3" t="s">
        <v>1</v>
      </c>
      <c r="B482" s="3" t="s">
        <v>13</v>
      </c>
      <c r="C482" s="3" t="s">
        <v>15</v>
      </c>
      <c r="D482" s="5">
        <v>44739</v>
      </c>
      <c r="E482" s="8">
        <v>1075</v>
      </c>
    </row>
    <row r="483" spans="1:5">
      <c r="A483" s="3" t="s">
        <v>1</v>
      </c>
      <c r="B483" s="3" t="s">
        <v>16</v>
      </c>
      <c r="C483" s="3" t="s">
        <v>16</v>
      </c>
      <c r="D483" s="5">
        <v>44739</v>
      </c>
      <c r="E483" s="8">
        <v>341591</v>
      </c>
    </row>
    <row r="484" spans="1:5">
      <c r="A484" s="3" t="s">
        <v>1</v>
      </c>
      <c r="B484" s="3" t="s">
        <v>86</v>
      </c>
      <c r="C484" s="3" t="s">
        <v>86</v>
      </c>
      <c r="D484" s="5">
        <v>44739</v>
      </c>
      <c r="E484" s="8">
        <v>353189</v>
      </c>
    </row>
    <row r="485" spans="1:5">
      <c r="A485" s="3" t="s">
        <v>1</v>
      </c>
      <c r="B485" s="3" t="s">
        <v>18</v>
      </c>
      <c r="C485" s="3" t="s">
        <v>19</v>
      </c>
      <c r="D485" s="5">
        <v>44739</v>
      </c>
      <c r="E485" s="8">
        <v>328074</v>
      </c>
    </row>
    <row r="486" spans="1:5">
      <c r="A486" s="3" t="s">
        <v>20</v>
      </c>
      <c r="B486" s="3" t="s">
        <v>2</v>
      </c>
      <c r="C486" s="3" t="s">
        <v>2</v>
      </c>
      <c r="D486" s="5">
        <v>44739</v>
      </c>
      <c r="E486" s="8">
        <v>2174339</v>
      </c>
    </row>
    <row r="487" spans="1:5">
      <c r="A487" s="3" t="s">
        <v>20</v>
      </c>
      <c r="B487" s="3" t="s">
        <v>2</v>
      </c>
      <c r="C487" s="3" t="s">
        <v>21</v>
      </c>
      <c r="D487" s="5">
        <v>44739</v>
      </c>
      <c r="E487" s="8">
        <v>344448</v>
      </c>
    </row>
    <row r="488" spans="1:5">
      <c r="A488" s="3" t="s">
        <v>20</v>
      </c>
      <c r="B488" s="3" t="s">
        <v>2</v>
      </c>
      <c r="C488" s="3" t="s">
        <v>22</v>
      </c>
      <c r="D488" s="5">
        <v>44739</v>
      </c>
      <c r="E488" s="8">
        <v>298756</v>
      </c>
    </row>
    <row r="489" spans="1:5">
      <c r="A489" s="3" t="s">
        <v>20</v>
      </c>
      <c r="B489" s="3" t="s">
        <v>2</v>
      </c>
      <c r="C489" s="3" t="s">
        <v>23</v>
      </c>
      <c r="D489" s="5">
        <v>44739</v>
      </c>
      <c r="E489" s="8">
        <v>641131</v>
      </c>
    </row>
    <row r="490" spans="1:5">
      <c r="A490" s="3" t="s">
        <v>20</v>
      </c>
      <c r="B490" s="3" t="s">
        <v>2</v>
      </c>
      <c r="C490" s="3" t="s">
        <v>24</v>
      </c>
      <c r="D490" s="5">
        <v>44739</v>
      </c>
      <c r="E490" s="8">
        <v>20071</v>
      </c>
    </row>
    <row r="491" spans="1:5">
      <c r="A491" s="3" t="s">
        <v>20</v>
      </c>
      <c r="B491" s="3" t="s">
        <v>3</v>
      </c>
      <c r="C491" s="3" t="s">
        <v>3</v>
      </c>
      <c r="D491" s="5">
        <v>44739</v>
      </c>
      <c r="E491" s="8">
        <v>559045</v>
      </c>
    </row>
    <row r="492" spans="1:5">
      <c r="A492" s="3" t="s">
        <v>20</v>
      </c>
      <c r="B492" s="3" t="s">
        <v>3</v>
      </c>
      <c r="C492" s="3" t="s">
        <v>25</v>
      </c>
      <c r="D492" s="5">
        <v>44739</v>
      </c>
      <c r="E492" s="8">
        <v>30195</v>
      </c>
    </row>
    <row r="493" spans="1:5">
      <c r="A493" s="3" t="s">
        <v>20</v>
      </c>
      <c r="B493" s="3" t="s">
        <v>7</v>
      </c>
      <c r="C493" s="3" t="s">
        <v>7</v>
      </c>
      <c r="D493" s="5">
        <v>44739</v>
      </c>
      <c r="E493" s="8">
        <v>358090</v>
      </c>
    </row>
    <row r="494" spans="1:5">
      <c r="A494" s="3" t="s">
        <v>20</v>
      </c>
      <c r="B494" s="3" t="s">
        <v>7</v>
      </c>
      <c r="C494" s="3" t="s">
        <v>8</v>
      </c>
      <c r="D494" s="5">
        <v>44739</v>
      </c>
      <c r="E494" s="8">
        <v>3146916</v>
      </c>
    </row>
    <row r="495" spans="1:5">
      <c r="A495" s="3" t="s">
        <v>20</v>
      </c>
      <c r="B495" s="3" t="s">
        <v>7</v>
      </c>
      <c r="C495" s="3" t="s">
        <v>26</v>
      </c>
      <c r="D495" s="5">
        <v>44739</v>
      </c>
      <c r="E495" s="8">
        <v>37522</v>
      </c>
    </row>
    <row r="496" spans="1:5">
      <c r="A496" s="3" t="s">
        <v>20</v>
      </c>
      <c r="B496" s="3" t="s">
        <v>10</v>
      </c>
      <c r="C496" s="3" t="s">
        <v>10</v>
      </c>
      <c r="D496" s="5">
        <v>44739</v>
      </c>
      <c r="E496" s="8">
        <v>3715832</v>
      </c>
    </row>
    <row r="497" spans="1:5">
      <c r="A497" s="3" t="s">
        <v>20</v>
      </c>
      <c r="B497" s="3" t="s">
        <v>10</v>
      </c>
      <c r="C497" s="3" t="s">
        <v>27</v>
      </c>
      <c r="D497" s="5">
        <v>44739</v>
      </c>
      <c r="E497" s="8">
        <v>13780</v>
      </c>
    </row>
    <row r="498" spans="1:5">
      <c r="A498" s="3" t="s">
        <v>20</v>
      </c>
      <c r="B498" s="3" t="s">
        <v>10</v>
      </c>
      <c r="C498" s="3" t="s">
        <v>82</v>
      </c>
      <c r="D498" s="5">
        <v>44739</v>
      </c>
      <c r="E498" s="8">
        <v>53317</v>
      </c>
    </row>
    <row r="499" spans="1:5">
      <c r="A499" s="3" t="s">
        <v>20</v>
      </c>
      <c r="B499" s="3" t="s">
        <v>13</v>
      </c>
      <c r="C499" s="3" t="s">
        <v>13</v>
      </c>
      <c r="D499" s="5">
        <v>44739</v>
      </c>
      <c r="E499" s="8">
        <v>1863267</v>
      </c>
    </row>
    <row r="500" spans="1:5">
      <c r="A500" s="3" t="s">
        <v>20</v>
      </c>
      <c r="B500" s="3" t="s">
        <v>13</v>
      </c>
      <c r="C500" s="3" t="s">
        <v>81</v>
      </c>
      <c r="D500" s="5">
        <v>44739</v>
      </c>
      <c r="E500" s="8">
        <v>102996</v>
      </c>
    </row>
    <row r="501" spans="1:5">
      <c r="A501" s="3" t="s">
        <v>20</v>
      </c>
      <c r="B501" s="3" t="s">
        <v>13</v>
      </c>
      <c r="C501" s="3" t="s">
        <v>28</v>
      </c>
      <c r="D501" s="5">
        <v>44739</v>
      </c>
      <c r="E501" s="8" t="s">
        <v>75</v>
      </c>
    </row>
    <row r="502" spans="1:5">
      <c r="A502" s="3" t="s">
        <v>20</v>
      </c>
      <c r="B502" s="3" t="s">
        <v>16</v>
      </c>
      <c r="C502" s="3" t="s">
        <v>16</v>
      </c>
      <c r="D502" s="5">
        <v>44739</v>
      </c>
      <c r="E502" s="8">
        <v>236833</v>
      </c>
    </row>
    <row r="503" spans="1:5">
      <c r="A503" s="3" t="s">
        <v>20</v>
      </c>
      <c r="B503" s="3" t="s">
        <v>16</v>
      </c>
      <c r="C503" s="3" t="s">
        <v>29</v>
      </c>
      <c r="D503" s="5">
        <v>44739</v>
      </c>
      <c r="E503" s="8">
        <v>14067</v>
      </c>
    </row>
    <row r="504" spans="1:5">
      <c r="A504" s="3" t="s">
        <v>20</v>
      </c>
      <c r="B504" s="3" t="s">
        <v>16</v>
      </c>
      <c r="C504" s="3" t="s">
        <v>30</v>
      </c>
      <c r="D504" s="5">
        <v>44739</v>
      </c>
      <c r="E504" s="8">
        <v>11142</v>
      </c>
    </row>
    <row r="505" spans="1:5">
      <c r="A505" s="3" t="s">
        <v>20</v>
      </c>
      <c r="B505" s="3" t="s">
        <v>16</v>
      </c>
      <c r="C505" s="3" t="s">
        <v>31</v>
      </c>
      <c r="D505" s="5">
        <v>44739</v>
      </c>
      <c r="E505" s="8">
        <v>7527</v>
      </c>
    </row>
    <row r="506" spans="1:5">
      <c r="A506" s="3" t="s">
        <v>20</v>
      </c>
      <c r="B506" s="3" t="s">
        <v>16</v>
      </c>
      <c r="C506" s="3" t="s">
        <v>32</v>
      </c>
      <c r="D506" s="5">
        <v>44739</v>
      </c>
      <c r="E506" s="8">
        <v>7670</v>
      </c>
    </row>
    <row r="507" spans="1:5">
      <c r="A507" s="3" t="s">
        <v>20</v>
      </c>
      <c r="B507" s="3" t="s">
        <v>16</v>
      </c>
      <c r="C507" s="3" t="s">
        <v>33</v>
      </c>
      <c r="D507" s="5">
        <v>44739</v>
      </c>
      <c r="E507" s="8" t="s">
        <v>75</v>
      </c>
    </row>
    <row r="508" spans="1:5">
      <c r="A508" s="3" t="s">
        <v>20</v>
      </c>
      <c r="B508" s="3" t="s">
        <v>86</v>
      </c>
      <c r="C508" s="3" t="s">
        <v>86</v>
      </c>
      <c r="D508" s="5">
        <v>44739</v>
      </c>
      <c r="E508" s="8">
        <v>78329</v>
      </c>
    </row>
    <row r="509" spans="1:5">
      <c r="A509" s="3" t="s">
        <v>20</v>
      </c>
      <c r="B509" s="3" t="s">
        <v>86</v>
      </c>
      <c r="C509" s="3" t="s">
        <v>92</v>
      </c>
      <c r="D509" s="5">
        <v>44739</v>
      </c>
      <c r="E509" s="8">
        <v>5840</v>
      </c>
    </row>
    <row r="510" spans="1:5">
      <c r="A510" s="3" t="s">
        <v>20</v>
      </c>
      <c r="B510" s="3" t="s">
        <v>86</v>
      </c>
      <c r="C510" s="3" t="s">
        <v>93</v>
      </c>
      <c r="D510" s="5">
        <v>44739</v>
      </c>
      <c r="E510" s="8">
        <v>8565</v>
      </c>
    </row>
    <row r="511" spans="1:5">
      <c r="A511" s="3" t="s">
        <v>20</v>
      </c>
      <c r="B511" s="3" t="s">
        <v>86</v>
      </c>
      <c r="C511" s="3" t="s">
        <v>94</v>
      </c>
      <c r="D511" s="5">
        <v>44739</v>
      </c>
      <c r="E511" s="8">
        <v>7853</v>
      </c>
    </row>
    <row r="512" spans="1:5">
      <c r="A512" s="3" t="s">
        <v>20</v>
      </c>
      <c r="B512" s="3" t="s">
        <v>86</v>
      </c>
      <c r="C512" s="3" t="s">
        <v>95</v>
      </c>
      <c r="D512" s="5">
        <v>44739</v>
      </c>
      <c r="E512" s="8">
        <v>9850</v>
      </c>
    </row>
    <row r="513" spans="1:5">
      <c r="A513" s="3" t="s">
        <v>20</v>
      </c>
      <c r="B513" s="3" t="s">
        <v>18</v>
      </c>
      <c r="C513" s="3" t="s">
        <v>19</v>
      </c>
      <c r="D513" s="5">
        <v>44739</v>
      </c>
      <c r="E513" s="8">
        <v>371278</v>
      </c>
    </row>
    <row r="514" spans="1:5">
      <c r="A514" s="3" t="s">
        <v>20</v>
      </c>
      <c r="B514" s="3" t="s">
        <v>18</v>
      </c>
      <c r="C514" s="3" t="s">
        <v>38</v>
      </c>
      <c r="D514" s="5">
        <v>44739</v>
      </c>
      <c r="E514" s="8">
        <v>5178</v>
      </c>
    </row>
    <row r="515" spans="1:5">
      <c r="A515" s="3" t="s">
        <v>20</v>
      </c>
      <c r="B515" s="3" t="s">
        <v>18</v>
      </c>
      <c r="C515" s="3" t="s">
        <v>39</v>
      </c>
      <c r="D515" s="5">
        <v>44739</v>
      </c>
      <c r="E515" s="8">
        <v>8198</v>
      </c>
    </row>
    <row r="516" spans="1:5">
      <c r="A516" s="3" t="s">
        <v>20</v>
      </c>
      <c r="B516" s="3" t="s">
        <v>18</v>
      </c>
      <c r="C516" s="3" t="s">
        <v>40</v>
      </c>
      <c r="D516" s="5">
        <v>44739</v>
      </c>
      <c r="E516" s="8">
        <v>4179</v>
      </c>
    </row>
    <row r="517" spans="1:5">
      <c r="A517" s="3" t="s">
        <v>20</v>
      </c>
      <c r="B517" s="3" t="s">
        <v>18</v>
      </c>
      <c r="C517" s="3" t="s">
        <v>73</v>
      </c>
      <c r="D517" s="5">
        <v>44739</v>
      </c>
      <c r="E517" s="8">
        <v>894</v>
      </c>
    </row>
    <row r="518" spans="1:5">
      <c r="A518" s="3" t="s">
        <v>20</v>
      </c>
      <c r="B518" s="3" t="s">
        <v>18</v>
      </c>
      <c r="C518" s="3" t="s">
        <v>41</v>
      </c>
      <c r="D518" s="5">
        <v>44739</v>
      </c>
      <c r="E518" s="8">
        <v>11364</v>
      </c>
    </row>
    <row r="519" spans="1:5">
      <c r="A519" s="3" t="s">
        <v>42</v>
      </c>
      <c r="B519" s="3" t="s">
        <v>2</v>
      </c>
      <c r="C519" s="3" t="s">
        <v>2</v>
      </c>
      <c r="D519" s="5">
        <v>44739</v>
      </c>
      <c r="E519" s="8">
        <v>805100</v>
      </c>
    </row>
    <row r="520" spans="1:5">
      <c r="A520" s="3" t="s">
        <v>42</v>
      </c>
      <c r="B520" s="3" t="s">
        <v>2</v>
      </c>
      <c r="C520" s="3" t="s">
        <v>43</v>
      </c>
      <c r="D520" s="5">
        <v>44739</v>
      </c>
      <c r="E520" s="8">
        <v>564000</v>
      </c>
    </row>
    <row r="521" spans="1:5">
      <c r="A521" s="3" t="s">
        <v>42</v>
      </c>
      <c r="B521" s="3" t="s">
        <v>2</v>
      </c>
      <c r="C521" s="3" t="s">
        <v>83</v>
      </c>
      <c r="D521" s="5">
        <v>44739</v>
      </c>
      <c r="E521" s="8">
        <v>131300</v>
      </c>
    </row>
    <row r="522" spans="1:5">
      <c r="A522" s="3" t="s">
        <v>42</v>
      </c>
      <c r="B522" s="3" t="s">
        <v>2</v>
      </c>
      <c r="C522" s="3" t="s">
        <v>44</v>
      </c>
      <c r="D522" s="5">
        <v>44739</v>
      </c>
      <c r="E522" s="8">
        <v>136300</v>
      </c>
    </row>
    <row r="523" spans="1:5">
      <c r="A523" s="3" t="s">
        <v>42</v>
      </c>
      <c r="B523" s="3" t="s">
        <v>2</v>
      </c>
      <c r="C523" s="3" t="s">
        <v>45</v>
      </c>
      <c r="D523" s="5">
        <v>44739</v>
      </c>
      <c r="E523" s="8">
        <v>157300</v>
      </c>
    </row>
    <row r="524" spans="1:5">
      <c r="A524" s="3" t="s">
        <v>42</v>
      </c>
      <c r="B524" s="3" t="s">
        <v>2</v>
      </c>
      <c r="C524" s="3" t="s">
        <v>80</v>
      </c>
      <c r="D524" s="5">
        <v>44739</v>
      </c>
      <c r="E524" s="8">
        <v>17600</v>
      </c>
    </row>
    <row r="525" spans="1:5">
      <c r="A525" s="3" t="s">
        <v>42</v>
      </c>
      <c r="B525" s="3" t="s">
        <v>3</v>
      </c>
      <c r="C525" s="3" t="s">
        <v>3</v>
      </c>
      <c r="D525" s="5">
        <v>44739</v>
      </c>
      <c r="E525" s="8">
        <v>205500</v>
      </c>
    </row>
    <row r="526" spans="1:5">
      <c r="A526" s="3" t="s">
        <v>42</v>
      </c>
      <c r="B526" s="3" t="s">
        <v>3</v>
      </c>
      <c r="C526" s="3" t="s">
        <v>46</v>
      </c>
      <c r="D526" s="5">
        <v>44739</v>
      </c>
      <c r="E526" s="8">
        <v>117000</v>
      </c>
    </row>
    <row r="527" spans="1:5">
      <c r="A527" s="3" t="s">
        <v>42</v>
      </c>
      <c r="B527" s="3" t="s">
        <v>3</v>
      </c>
      <c r="C527" s="3" t="s">
        <v>4</v>
      </c>
      <c r="D527" s="5">
        <v>44739</v>
      </c>
      <c r="E527" s="8">
        <v>47600</v>
      </c>
    </row>
    <row r="528" spans="1:5">
      <c r="A528" s="3" t="s">
        <v>42</v>
      </c>
      <c r="B528" s="3" t="s">
        <v>3</v>
      </c>
      <c r="C528" s="3" t="s">
        <v>5</v>
      </c>
      <c r="D528" s="5">
        <v>44739</v>
      </c>
      <c r="E528" s="8">
        <v>3379</v>
      </c>
    </row>
    <row r="529" spans="1:5">
      <c r="A529" s="3" t="s">
        <v>42</v>
      </c>
      <c r="B529" s="3" t="s">
        <v>3</v>
      </c>
      <c r="C529" s="3" t="s">
        <v>47</v>
      </c>
      <c r="D529" s="5">
        <v>44739</v>
      </c>
      <c r="E529" s="8">
        <v>7046</v>
      </c>
    </row>
    <row r="530" spans="1:5">
      <c r="A530" s="3" t="s">
        <v>42</v>
      </c>
      <c r="B530" s="3" t="s">
        <v>3</v>
      </c>
      <c r="C530" s="3" t="s">
        <v>48</v>
      </c>
      <c r="D530" s="5">
        <v>44739</v>
      </c>
      <c r="E530" s="8">
        <v>6961</v>
      </c>
    </row>
    <row r="531" spans="1:5">
      <c r="A531" s="3" t="s">
        <v>42</v>
      </c>
      <c r="B531" s="3" t="s">
        <v>3</v>
      </c>
      <c r="C531" s="3" t="s">
        <v>49</v>
      </c>
      <c r="D531" s="5">
        <v>44739</v>
      </c>
      <c r="E531" s="8">
        <v>39300</v>
      </c>
    </row>
    <row r="532" spans="1:5">
      <c r="A532" s="3" t="s">
        <v>42</v>
      </c>
      <c r="B532" s="3" t="s">
        <v>7</v>
      </c>
      <c r="C532" s="3" t="s">
        <v>7</v>
      </c>
      <c r="D532" s="5">
        <v>44739</v>
      </c>
      <c r="E532" s="8">
        <v>396900</v>
      </c>
    </row>
    <row r="533" spans="1:5">
      <c r="A533" s="3" t="s">
        <v>42</v>
      </c>
      <c r="B533" s="3" t="s">
        <v>7</v>
      </c>
      <c r="C533" s="3" t="s">
        <v>50</v>
      </c>
      <c r="D533" s="5">
        <v>44739</v>
      </c>
      <c r="E533" s="8">
        <v>183700</v>
      </c>
    </row>
    <row r="534" spans="1:5">
      <c r="A534" s="3" t="s">
        <v>42</v>
      </c>
      <c r="B534" s="3" t="s">
        <v>7</v>
      </c>
      <c r="C534" s="3" t="s">
        <v>51</v>
      </c>
      <c r="D534" s="5">
        <v>44739</v>
      </c>
      <c r="E534" s="8">
        <v>144200</v>
      </c>
    </row>
    <row r="535" spans="1:5">
      <c r="A535" s="3" t="s">
        <v>42</v>
      </c>
      <c r="B535" s="3" t="s">
        <v>10</v>
      </c>
      <c r="C535" s="3" t="s">
        <v>10</v>
      </c>
      <c r="D535" s="5">
        <v>44739</v>
      </c>
      <c r="E535" s="8">
        <v>914700</v>
      </c>
    </row>
    <row r="536" spans="1:5">
      <c r="A536" s="3" t="s">
        <v>42</v>
      </c>
      <c r="B536" s="3" t="s">
        <v>10</v>
      </c>
      <c r="C536" s="3" t="s">
        <v>52</v>
      </c>
      <c r="D536" s="5">
        <v>44739</v>
      </c>
      <c r="E536" s="8">
        <v>38700</v>
      </c>
    </row>
    <row r="537" spans="1:5">
      <c r="A537" s="3" t="s">
        <v>42</v>
      </c>
      <c r="B537" s="3" t="s">
        <v>10</v>
      </c>
      <c r="C537" s="3" t="s">
        <v>53</v>
      </c>
      <c r="D537" s="5">
        <v>44739</v>
      </c>
      <c r="E537" s="8">
        <v>417600</v>
      </c>
    </row>
    <row r="538" spans="1:5">
      <c r="A538" s="3" t="s">
        <v>42</v>
      </c>
      <c r="B538" s="3" t="s">
        <v>13</v>
      </c>
      <c r="C538" s="3" t="s">
        <v>13</v>
      </c>
      <c r="D538" s="5">
        <v>44739</v>
      </c>
      <c r="E538" s="8">
        <v>339800</v>
      </c>
    </row>
    <row r="539" spans="1:5">
      <c r="A539" s="3" t="s">
        <v>42</v>
      </c>
      <c r="B539" s="3" t="s">
        <v>13</v>
      </c>
      <c r="C539" s="3" t="s">
        <v>54</v>
      </c>
      <c r="D539" s="5">
        <v>44739</v>
      </c>
      <c r="E539" s="8">
        <v>69400</v>
      </c>
    </row>
    <row r="540" spans="1:5">
      <c r="A540" s="3" t="s">
        <v>42</v>
      </c>
      <c r="B540" s="3" t="s">
        <v>13</v>
      </c>
      <c r="C540" s="3" t="s">
        <v>55</v>
      </c>
      <c r="D540" s="5">
        <v>44739</v>
      </c>
      <c r="E540" s="8" t="s">
        <v>75</v>
      </c>
    </row>
    <row r="541" spans="1:5">
      <c r="A541" s="3" t="s">
        <v>42</v>
      </c>
      <c r="B541" s="3" t="s">
        <v>13</v>
      </c>
      <c r="C541" s="3" t="s">
        <v>56</v>
      </c>
      <c r="D541" s="5">
        <v>44739</v>
      </c>
      <c r="E541" s="8">
        <v>21800</v>
      </c>
    </row>
    <row r="542" spans="1:5">
      <c r="A542" s="3" t="s">
        <v>42</v>
      </c>
      <c r="B542" s="3" t="s">
        <v>13</v>
      </c>
      <c r="C542" s="3" t="s">
        <v>57</v>
      </c>
      <c r="D542" s="5">
        <v>44739</v>
      </c>
      <c r="E542" s="8" t="s">
        <v>75</v>
      </c>
    </row>
    <row r="543" spans="1:5">
      <c r="A543" s="3" t="s">
        <v>42</v>
      </c>
      <c r="B543" s="3" t="s">
        <v>16</v>
      </c>
      <c r="C543" s="3" t="s">
        <v>58</v>
      </c>
      <c r="D543" s="5">
        <v>44739</v>
      </c>
      <c r="E543" s="8">
        <v>38300</v>
      </c>
    </row>
    <row r="544" spans="1:5">
      <c r="A544" s="3" t="s">
        <v>42</v>
      </c>
      <c r="B544" s="3" t="s">
        <v>16</v>
      </c>
      <c r="C544" s="3" t="s">
        <v>59</v>
      </c>
      <c r="D544" s="5">
        <v>44739</v>
      </c>
      <c r="E544" s="8">
        <v>45000</v>
      </c>
    </row>
    <row r="545" spans="1:5">
      <c r="A545" s="3" t="s">
        <v>42</v>
      </c>
      <c r="B545" s="3" t="s">
        <v>16</v>
      </c>
      <c r="C545" s="3" t="s">
        <v>60</v>
      </c>
      <c r="D545" s="5">
        <v>44739</v>
      </c>
      <c r="E545" s="8">
        <v>26500</v>
      </c>
    </row>
    <row r="546" spans="1:5">
      <c r="A546" s="3" t="s">
        <v>42</v>
      </c>
      <c r="B546" s="3" t="s">
        <v>86</v>
      </c>
      <c r="C546" s="3" t="s">
        <v>89</v>
      </c>
      <c r="D546" s="5">
        <v>44739</v>
      </c>
      <c r="E546" s="8">
        <v>12000</v>
      </c>
    </row>
    <row r="547" spans="1:5">
      <c r="A547" s="3" t="s">
        <v>42</v>
      </c>
      <c r="B547" s="3" t="s">
        <v>18</v>
      </c>
      <c r="C547" s="3" t="s">
        <v>18</v>
      </c>
      <c r="D547" s="5">
        <v>44739</v>
      </c>
      <c r="E547" s="8">
        <v>44500</v>
      </c>
    </row>
    <row r="548" spans="1:5">
      <c r="A548" s="3" t="s">
        <v>42</v>
      </c>
      <c r="B548" s="3" t="s">
        <v>18</v>
      </c>
      <c r="C548" s="3" t="s">
        <v>62</v>
      </c>
      <c r="D548" s="5">
        <v>44739</v>
      </c>
      <c r="E548" s="8">
        <v>12900</v>
      </c>
    </row>
    <row r="549" spans="1:5">
      <c r="A549" s="3" t="s">
        <v>42</v>
      </c>
      <c r="B549" s="3" t="s">
        <v>18</v>
      </c>
      <c r="C549" s="3" t="s">
        <v>63</v>
      </c>
      <c r="D549" s="5">
        <v>44739</v>
      </c>
      <c r="E549" s="8">
        <v>988</v>
      </c>
    </row>
    <row r="550" spans="1:5">
      <c r="A550" s="3" t="s">
        <v>79</v>
      </c>
      <c r="B550" s="3" t="s">
        <v>2</v>
      </c>
      <c r="C550" s="3" t="s">
        <v>64</v>
      </c>
      <c r="D550" s="5">
        <v>44739</v>
      </c>
      <c r="E550" s="8">
        <v>210000</v>
      </c>
    </row>
    <row r="551" spans="1:5">
      <c r="A551" s="3" t="s">
        <v>79</v>
      </c>
      <c r="B551" s="3" t="s">
        <v>3</v>
      </c>
      <c r="C551" s="3" t="s">
        <v>65</v>
      </c>
      <c r="D551" s="5">
        <v>44739</v>
      </c>
      <c r="E551" s="8">
        <v>116000</v>
      </c>
    </row>
    <row r="552" spans="1:5">
      <c r="A552" s="3" t="s">
        <v>79</v>
      </c>
      <c r="B552" s="3" t="s">
        <v>3</v>
      </c>
      <c r="C552" s="3" t="s">
        <v>66</v>
      </c>
      <c r="D552" s="5">
        <v>44739</v>
      </c>
      <c r="E552" s="8">
        <v>7892</v>
      </c>
    </row>
    <row r="553" spans="1:5">
      <c r="A553" s="3" t="s">
        <v>79</v>
      </c>
      <c r="B553" s="3" t="s">
        <v>3</v>
      </c>
      <c r="C553" s="3" t="s">
        <v>67</v>
      </c>
      <c r="D553" s="5">
        <v>44739</v>
      </c>
      <c r="E553" s="8">
        <v>8263</v>
      </c>
    </row>
    <row r="554" spans="1:5">
      <c r="A554" s="3" t="s">
        <v>79</v>
      </c>
      <c r="B554" s="3" t="s">
        <v>3</v>
      </c>
      <c r="C554" s="3" t="s">
        <v>68</v>
      </c>
      <c r="D554" s="5">
        <v>44739</v>
      </c>
      <c r="E554" s="8">
        <v>22700</v>
      </c>
    </row>
    <row r="555" spans="1:5">
      <c r="A555" s="3" t="s">
        <v>79</v>
      </c>
      <c r="B555" s="3" t="s">
        <v>7</v>
      </c>
      <c r="C555" s="3" t="s">
        <v>69</v>
      </c>
      <c r="D555" s="5">
        <v>44739</v>
      </c>
      <c r="E555" s="8">
        <v>241000</v>
      </c>
    </row>
    <row r="556" spans="1:5">
      <c r="A556" s="3" t="s">
        <v>79</v>
      </c>
      <c r="B556" s="3" t="s">
        <v>10</v>
      </c>
      <c r="C556" s="3" t="s">
        <v>53</v>
      </c>
      <c r="D556" s="5">
        <v>44739</v>
      </c>
      <c r="E556" s="8">
        <v>81800</v>
      </c>
    </row>
    <row r="557" spans="1:5">
      <c r="A557" s="3" t="s">
        <v>79</v>
      </c>
      <c r="B557" s="3" t="s">
        <v>10</v>
      </c>
      <c r="C557" s="3" t="s">
        <v>10</v>
      </c>
      <c r="D557" s="5">
        <v>44739</v>
      </c>
      <c r="E557" s="8">
        <v>96100</v>
      </c>
    </row>
    <row r="558" spans="1:5">
      <c r="A558" s="3" t="s">
        <v>79</v>
      </c>
      <c r="B558" s="3" t="s">
        <v>13</v>
      </c>
      <c r="C558" s="3" t="s">
        <v>70</v>
      </c>
      <c r="D558" s="5">
        <v>44739</v>
      </c>
      <c r="E558" s="8">
        <v>117000</v>
      </c>
    </row>
    <row r="559" spans="1:5">
      <c r="A559" s="3" t="s">
        <v>79</v>
      </c>
      <c r="B559" s="3" t="s">
        <v>16</v>
      </c>
      <c r="C559" s="3" t="s">
        <v>16</v>
      </c>
      <c r="D559" s="5">
        <v>44739</v>
      </c>
      <c r="E559" s="8">
        <v>25500</v>
      </c>
    </row>
    <row r="560" spans="1:5">
      <c r="A560" s="3" t="s">
        <v>79</v>
      </c>
      <c r="B560" s="3" t="s">
        <v>86</v>
      </c>
      <c r="C560" s="3" t="s">
        <v>86</v>
      </c>
      <c r="D560" s="5">
        <v>44739</v>
      </c>
      <c r="E560" s="8">
        <v>39100</v>
      </c>
    </row>
    <row r="561" spans="1:15">
      <c r="A561" s="3" t="s">
        <v>1</v>
      </c>
      <c r="B561" s="3" t="s">
        <v>2</v>
      </c>
      <c r="C561" s="3" t="s">
        <v>2</v>
      </c>
      <c r="D561" s="5">
        <v>44771</v>
      </c>
      <c r="E561" s="8">
        <v>2770986</v>
      </c>
      <c r="K561" s="25"/>
      <c r="L561" s="25"/>
      <c r="M561" s="25"/>
      <c r="N561" s="26"/>
      <c r="O561" s="8"/>
    </row>
    <row r="562" spans="1:15">
      <c r="A562" s="3" t="s">
        <v>1</v>
      </c>
      <c r="B562" s="3" t="s">
        <v>3</v>
      </c>
      <c r="C562" s="3" t="s">
        <v>3</v>
      </c>
      <c r="D562" s="5">
        <v>44771</v>
      </c>
      <c r="E562" s="8">
        <v>3941761</v>
      </c>
      <c r="K562" s="27"/>
      <c r="L562" s="27"/>
      <c r="M562" s="27"/>
      <c r="N562" s="28"/>
      <c r="O562" s="29"/>
    </row>
    <row r="563" spans="1:15">
      <c r="A563" s="3" t="s">
        <v>1</v>
      </c>
      <c r="B563" s="3" t="s">
        <v>3</v>
      </c>
      <c r="C563" s="3" t="s">
        <v>4</v>
      </c>
      <c r="D563" s="5">
        <v>44771</v>
      </c>
      <c r="E563" s="8">
        <v>96650</v>
      </c>
      <c r="H563" s="3" t="s">
        <v>87</v>
      </c>
      <c r="K563" s="25"/>
      <c r="L563" s="25"/>
      <c r="M563" s="25"/>
      <c r="N563" s="26"/>
      <c r="O563" s="8"/>
    </row>
    <row r="564" spans="1:15">
      <c r="A564" s="3" t="s">
        <v>1</v>
      </c>
      <c r="B564" s="3" t="s">
        <v>3</v>
      </c>
      <c r="C564" s="3" t="s">
        <v>5</v>
      </c>
      <c r="D564" s="5">
        <v>44771</v>
      </c>
      <c r="E564" s="8">
        <v>14871</v>
      </c>
      <c r="K564" s="27"/>
      <c r="L564" s="27"/>
      <c r="M564" s="27"/>
      <c r="N564" s="28"/>
      <c r="O564" s="29"/>
    </row>
    <row r="565" spans="1:15">
      <c r="A565" s="3" t="s">
        <v>1</v>
      </c>
      <c r="B565" s="3" t="s">
        <v>3</v>
      </c>
      <c r="C565" s="3" t="s">
        <v>6</v>
      </c>
      <c r="D565" s="5">
        <v>44771</v>
      </c>
      <c r="E565" s="8">
        <v>159393</v>
      </c>
      <c r="H565" s="3" t="s">
        <v>85</v>
      </c>
      <c r="K565" s="25"/>
      <c r="L565" s="25"/>
      <c r="M565" s="25"/>
      <c r="N565" s="26"/>
      <c r="O565" s="8"/>
    </row>
    <row r="566" spans="1:15">
      <c r="A566" s="3" t="s">
        <v>1</v>
      </c>
      <c r="B566" s="3" t="s">
        <v>7</v>
      </c>
      <c r="C566" s="3" t="s">
        <v>7</v>
      </c>
      <c r="D566" s="5">
        <v>44771</v>
      </c>
      <c r="E566" s="8">
        <v>3693407</v>
      </c>
      <c r="K566" s="27"/>
      <c r="L566" s="27"/>
      <c r="M566" s="27"/>
      <c r="N566" s="28"/>
      <c r="O566" s="29"/>
    </row>
    <row r="567" spans="1:15">
      <c r="A567" s="3" t="s">
        <v>1</v>
      </c>
      <c r="B567" s="3" t="s">
        <v>7</v>
      </c>
      <c r="C567" s="3" t="s">
        <v>8</v>
      </c>
      <c r="D567" s="5">
        <v>44771</v>
      </c>
      <c r="E567" s="8">
        <v>412974</v>
      </c>
      <c r="K567" s="30"/>
      <c r="L567" s="30"/>
      <c r="M567" s="30"/>
      <c r="N567" s="31"/>
      <c r="O567" s="32"/>
    </row>
    <row r="568" spans="1:15">
      <c r="A568" s="3" t="s">
        <v>1</v>
      </c>
      <c r="B568" s="3" t="s">
        <v>7</v>
      </c>
      <c r="C568" s="3" t="s">
        <v>9</v>
      </c>
      <c r="D568" s="5">
        <v>44771</v>
      </c>
      <c r="E568" s="8">
        <v>211625</v>
      </c>
    </row>
    <row r="569" spans="1:15">
      <c r="A569" s="3" t="s">
        <v>1</v>
      </c>
      <c r="B569" s="3" t="s">
        <v>10</v>
      </c>
      <c r="C569" s="3" t="s">
        <v>10</v>
      </c>
      <c r="D569" s="5">
        <v>44771</v>
      </c>
      <c r="E569" s="8">
        <v>1204171</v>
      </c>
    </row>
    <row r="570" spans="1:15">
      <c r="A570" s="3" t="s">
        <v>1</v>
      </c>
      <c r="B570" s="3" t="s">
        <v>10</v>
      </c>
      <c r="C570" s="3" t="s">
        <v>11</v>
      </c>
      <c r="D570" s="5">
        <v>44771</v>
      </c>
      <c r="E570" s="8">
        <v>1142016</v>
      </c>
    </row>
    <row r="571" spans="1:15">
      <c r="A571" s="3" t="s">
        <v>1</v>
      </c>
      <c r="B571" s="3" t="s">
        <v>10</v>
      </c>
      <c r="C571" s="3" t="s">
        <v>12</v>
      </c>
      <c r="D571" s="5">
        <v>44771</v>
      </c>
      <c r="E571" s="8">
        <v>215734</v>
      </c>
    </row>
    <row r="572" spans="1:15">
      <c r="A572" s="3" t="s">
        <v>1</v>
      </c>
      <c r="B572" s="3" t="s">
        <v>13</v>
      </c>
      <c r="C572" s="3" t="s">
        <v>13</v>
      </c>
      <c r="D572" s="5">
        <v>44771</v>
      </c>
      <c r="E572" s="8">
        <v>1150804</v>
      </c>
    </row>
    <row r="573" spans="1:15">
      <c r="A573" s="3" t="s">
        <v>1</v>
      </c>
      <c r="B573" s="3" t="s">
        <v>13</v>
      </c>
      <c r="C573" s="3" t="s">
        <v>14</v>
      </c>
      <c r="D573" s="5">
        <v>44771</v>
      </c>
      <c r="E573" s="8">
        <v>191555</v>
      </c>
    </row>
    <row r="574" spans="1:15">
      <c r="A574" s="3" t="s">
        <v>1</v>
      </c>
      <c r="B574" s="3" t="s">
        <v>13</v>
      </c>
      <c r="C574" s="3" t="s">
        <v>15</v>
      </c>
      <c r="D574" s="5">
        <v>44771</v>
      </c>
      <c r="E574" s="8" t="s">
        <v>75</v>
      </c>
    </row>
    <row r="575" spans="1:15">
      <c r="A575" s="3" t="s">
        <v>1</v>
      </c>
      <c r="B575" s="3" t="s">
        <v>16</v>
      </c>
      <c r="C575" s="3" t="s">
        <v>16</v>
      </c>
      <c r="D575" s="5">
        <v>44771</v>
      </c>
      <c r="E575" s="8">
        <v>342672</v>
      </c>
    </row>
    <row r="576" spans="1:15">
      <c r="A576" s="3" t="s">
        <v>1</v>
      </c>
      <c r="B576" s="3" t="s">
        <v>86</v>
      </c>
      <c r="C576" s="3" t="s">
        <v>86</v>
      </c>
      <c r="D576" s="5">
        <v>44771</v>
      </c>
      <c r="E576" s="8">
        <v>353329</v>
      </c>
    </row>
    <row r="577" spans="1:5">
      <c r="A577" s="3" t="s">
        <v>1</v>
      </c>
      <c r="B577" s="3" t="s">
        <v>18</v>
      </c>
      <c r="C577" s="3" t="s">
        <v>19</v>
      </c>
      <c r="D577" s="5">
        <v>44771</v>
      </c>
      <c r="E577" s="8">
        <v>328999</v>
      </c>
    </row>
    <row r="578" spans="1:5">
      <c r="A578" s="3" t="s">
        <v>20</v>
      </c>
      <c r="B578" s="3" t="s">
        <v>2</v>
      </c>
      <c r="C578" s="3" t="s">
        <v>2</v>
      </c>
      <c r="D578" s="5">
        <v>44771</v>
      </c>
      <c r="E578" s="8">
        <v>2208988</v>
      </c>
    </row>
    <row r="579" spans="1:5">
      <c r="A579" s="3" t="s">
        <v>20</v>
      </c>
      <c r="B579" s="3" t="s">
        <v>2</v>
      </c>
      <c r="C579" s="3" t="s">
        <v>21</v>
      </c>
      <c r="D579" s="5">
        <v>44771</v>
      </c>
      <c r="E579" s="8">
        <v>346346</v>
      </c>
    </row>
    <row r="580" spans="1:5">
      <c r="A580" s="3" t="s">
        <v>20</v>
      </c>
      <c r="B580" s="3" t="s">
        <v>2</v>
      </c>
      <c r="C580" s="3" t="s">
        <v>22</v>
      </c>
      <c r="D580" s="5">
        <v>44771</v>
      </c>
      <c r="E580" s="8">
        <v>300722</v>
      </c>
    </row>
    <row r="581" spans="1:5">
      <c r="A581" s="3" t="s">
        <v>20</v>
      </c>
      <c r="B581" s="3" t="s">
        <v>2</v>
      </c>
      <c r="C581" s="3" t="s">
        <v>23</v>
      </c>
      <c r="D581" s="5">
        <v>44771</v>
      </c>
      <c r="E581" s="8">
        <v>649679</v>
      </c>
    </row>
    <row r="582" spans="1:5">
      <c r="A582" s="3" t="s">
        <v>20</v>
      </c>
      <c r="B582" s="3" t="s">
        <v>2</v>
      </c>
      <c r="C582" s="3" t="s">
        <v>24</v>
      </c>
      <c r="D582" s="5">
        <v>44771</v>
      </c>
      <c r="E582" s="8">
        <v>20336</v>
      </c>
    </row>
    <row r="583" spans="1:5">
      <c r="A583" s="3" t="s">
        <v>20</v>
      </c>
      <c r="B583" s="3" t="s">
        <v>3</v>
      </c>
      <c r="C583" s="3" t="s">
        <v>3</v>
      </c>
      <c r="D583" s="5">
        <v>44771</v>
      </c>
      <c r="E583" s="8">
        <v>566948</v>
      </c>
    </row>
    <row r="584" spans="1:5">
      <c r="A584" s="3" t="s">
        <v>20</v>
      </c>
      <c r="B584" s="3" t="s">
        <v>3</v>
      </c>
      <c r="C584" s="3" t="s">
        <v>25</v>
      </c>
      <c r="D584" s="5">
        <v>44771</v>
      </c>
      <c r="E584" s="8">
        <v>30633</v>
      </c>
    </row>
    <row r="585" spans="1:5">
      <c r="A585" s="3" t="s">
        <v>20</v>
      </c>
      <c r="B585" s="3" t="s">
        <v>7</v>
      </c>
      <c r="C585" s="3" t="s">
        <v>7</v>
      </c>
      <c r="D585" s="5">
        <v>44771</v>
      </c>
      <c r="E585" s="8">
        <v>363155</v>
      </c>
    </row>
    <row r="586" spans="1:5">
      <c r="A586" s="3" t="s">
        <v>20</v>
      </c>
      <c r="B586" s="3" t="s">
        <v>7</v>
      </c>
      <c r="C586" s="3" t="s">
        <v>8</v>
      </c>
      <c r="D586" s="5">
        <v>44771</v>
      </c>
      <c r="E586" s="8">
        <v>3213908</v>
      </c>
    </row>
    <row r="587" spans="1:5">
      <c r="A587" s="3" t="s">
        <v>20</v>
      </c>
      <c r="B587" s="3" t="s">
        <v>7</v>
      </c>
      <c r="C587" s="3" t="s">
        <v>26</v>
      </c>
      <c r="D587" s="5">
        <v>44771</v>
      </c>
      <c r="E587" s="8">
        <v>37782</v>
      </c>
    </row>
    <row r="588" spans="1:5">
      <c r="A588" s="3" t="s">
        <v>20</v>
      </c>
      <c r="B588" s="3" t="s">
        <v>10</v>
      </c>
      <c r="C588" s="3" t="s">
        <v>10</v>
      </c>
      <c r="D588" s="5">
        <v>44771</v>
      </c>
      <c r="E588" s="8">
        <v>3755976</v>
      </c>
    </row>
    <row r="589" spans="1:5">
      <c r="A589" s="3" t="s">
        <v>20</v>
      </c>
      <c r="B589" s="3" t="s">
        <v>10</v>
      </c>
      <c r="C589" s="3" t="s">
        <v>27</v>
      </c>
      <c r="D589" s="5">
        <v>44771</v>
      </c>
      <c r="E589" s="8">
        <v>13901</v>
      </c>
    </row>
    <row r="590" spans="1:5">
      <c r="A590" s="3" t="s">
        <v>20</v>
      </c>
      <c r="B590" s="3" t="s">
        <v>10</v>
      </c>
      <c r="C590" s="3" t="s">
        <v>82</v>
      </c>
      <c r="D590" s="5">
        <v>44771</v>
      </c>
      <c r="E590" s="8">
        <v>55387</v>
      </c>
    </row>
    <row r="591" spans="1:5">
      <c r="A591" s="3" t="s">
        <v>20</v>
      </c>
      <c r="B591" s="3" t="s">
        <v>13</v>
      </c>
      <c r="C591" s="3" t="s">
        <v>13</v>
      </c>
      <c r="D591" s="5">
        <v>44771</v>
      </c>
      <c r="E591" s="8">
        <v>1896628</v>
      </c>
    </row>
    <row r="592" spans="1:5">
      <c r="A592" s="3" t="s">
        <v>20</v>
      </c>
      <c r="B592" s="3" t="s">
        <v>13</v>
      </c>
      <c r="C592" s="3" t="s">
        <v>81</v>
      </c>
      <c r="D592" s="5">
        <v>44771</v>
      </c>
      <c r="E592" s="8">
        <v>104988</v>
      </c>
    </row>
    <row r="593" spans="1:5">
      <c r="A593" s="3" t="s">
        <v>20</v>
      </c>
      <c r="B593" s="3" t="s">
        <v>13</v>
      </c>
      <c r="C593" s="3" t="s">
        <v>28</v>
      </c>
      <c r="D593" s="5">
        <v>44771</v>
      </c>
      <c r="E593" s="8" t="s">
        <v>75</v>
      </c>
    </row>
    <row r="594" spans="1:5">
      <c r="A594" s="3" t="s">
        <v>20</v>
      </c>
      <c r="B594" s="3" t="s">
        <v>16</v>
      </c>
      <c r="C594" s="3" t="s">
        <v>16</v>
      </c>
      <c r="D594" s="5">
        <v>44771</v>
      </c>
      <c r="E594" s="8">
        <v>239769</v>
      </c>
    </row>
    <row r="595" spans="1:5">
      <c r="A595" s="3" t="s">
        <v>20</v>
      </c>
      <c r="B595" s="3" t="s">
        <v>16</v>
      </c>
      <c r="C595" s="3" t="s">
        <v>29</v>
      </c>
      <c r="D595" s="5">
        <v>44771</v>
      </c>
      <c r="E595" s="8">
        <v>14548</v>
      </c>
    </row>
    <row r="596" spans="1:5">
      <c r="A596" s="3" t="s">
        <v>20</v>
      </c>
      <c r="B596" s="3" t="s">
        <v>16</v>
      </c>
      <c r="C596" s="3" t="s">
        <v>30</v>
      </c>
      <c r="D596" s="5">
        <v>44771</v>
      </c>
      <c r="E596" s="8">
        <v>11312</v>
      </c>
    </row>
    <row r="597" spans="1:5">
      <c r="A597" s="3" t="s">
        <v>20</v>
      </c>
      <c r="B597" s="3" t="s">
        <v>16</v>
      </c>
      <c r="C597" s="3" t="s">
        <v>31</v>
      </c>
      <c r="D597" s="5">
        <v>44771</v>
      </c>
      <c r="E597" s="8">
        <v>7677</v>
      </c>
    </row>
    <row r="598" spans="1:5">
      <c r="A598" s="3" t="s">
        <v>20</v>
      </c>
      <c r="B598" s="3" t="s">
        <v>16</v>
      </c>
      <c r="C598" s="3" t="s">
        <v>32</v>
      </c>
      <c r="D598" s="5">
        <v>44771</v>
      </c>
      <c r="E598" s="8">
        <v>8036</v>
      </c>
    </row>
    <row r="599" spans="1:5">
      <c r="A599" s="3" t="s">
        <v>20</v>
      </c>
      <c r="B599" s="3" t="s">
        <v>16</v>
      </c>
      <c r="C599" s="3" t="s">
        <v>33</v>
      </c>
      <c r="D599" s="5">
        <v>44771</v>
      </c>
      <c r="E599" s="8" t="s">
        <v>75</v>
      </c>
    </row>
    <row r="600" spans="1:5">
      <c r="A600" s="3" t="s">
        <v>20</v>
      </c>
      <c r="B600" s="3" t="s">
        <v>86</v>
      </c>
      <c r="C600" s="3" t="s">
        <v>86</v>
      </c>
      <c r="D600" s="5">
        <v>44771</v>
      </c>
      <c r="E600" s="8">
        <v>81435</v>
      </c>
    </row>
    <row r="601" spans="1:5">
      <c r="A601" s="3" t="s">
        <v>20</v>
      </c>
      <c r="B601" s="3" t="s">
        <v>86</v>
      </c>
      <c r="C601" s="3" t="s">
        <v>92</v>
      </c>
      <c r="D601" s="5">
        <v>44771</v>
      </c>
      <c r="E601" s="8">
        <v>6112</v>
      </c>
    </row>
    <row r="602" spans="1:5">
      <c r="A602" s="3" t="s">
        <v>20</v>
      </c>
      <c r="B602" s="3" t="s">
        <v>86</v>
      </c>
      <c r="C602" s="3" t="s">
        <v>93</v>
      </c>
      <c r="D602" s="5">
        <v>44771</v>
      </c>
      <c r="E602" s="8">
        <v>8858</v>
      </c>
    </row>
    <row r="603" spans="1:5">
      <c r="A603" s="3" t="s">
        <v>20</v>
      </c>
      <c r="B603" s="3" t="s">
        <v>86</v>
      </c>
      <c r="C603" s="3" t="s">
        <v>94</v>
      </c>
      <c r="D603" s="5">
        <v>44771</v>
      </c>
      <c r="E603" s="8">
        <v>8205</v>
      </c>
    </row>
    <row r="604" spans="1:5">
      <c r="A604" s="3" t="s">
        <v>20</v>
      </c>
      <c r="B604" s="3" t="s">
        <v>86</v>
      </c>
      <c r="C604" s="3" t="s">
        <v>95</v>
      </c>
      <c r="D604" s="5">
        <v>44771</v>
      </c>
      <c r="E604" s="8">
        <v>10046</v>
      </c>
    </row>
    <row r="605" spans="1:5">
      <c r="A605" s="3" t="s">
        <v>20</v>
      </c>
      <c r="B605" s="3" t="s">
        <v>18</v>
      </c>
      <c r="C605" s="3" t="s">
        <v>19</v>
      </c>
      <c r="D605" s="5">
        <v>44771</v>
      </c>
      <c r="E605" s="8">
        <v>376412</v>
      </c>
    </row>
    <row r="606" spans="1:5">
      <c r="A606" s="3" t="s">
        <v>20</v>
      </c>
      <c r="B606" s="3" t="s">
        <v>18</v>
      </c>
      <c r="C606" s="3" t="s">
        <v>38</v>
      </c>
      <c r="D606" s="5">
        <v>44771</v>
      </c>
      <c r="E606" s="8">
        <v>5279</v>
      </c>
    </row>
    <row r="607" spans="1:5">
      <c r="A607" s="3" t="s">
        <v>20</v>
      </c>
      <c r="B607" s="3" t="s">
        <v>18</v>
      </c>
      <c r="C607" s="3" t="s">
        <v>39</v>
      </c>
      <c r="D607" s="5">
        <v>44771</v>
      </c>
      <c r="E607" s="8">
        <v>8388</v>
      </c>
    </row>
    <row r="608" spans="1:5">
      <c r="A608" s="3" t="s">
        <v>20</v>
      </c>
      <c r="B608" s="3" t="s">
        <v>18</v>
      </c>
      <c r="C608" s="3" t="s">
        <v>40</v>
      </c>
      <c r="D608" s="5">
        <v>44771</v>
      </c>
      <c r="E608" s="8">
        <v>4379</v>
      </c>
    </row>
    <row r="609" spans="1:5">
      <c r="A609" s="3" t="s">
        <v>20</v>
      </c>
      <c r="B609" s="3" t="s">
        <v>18</v>
      </c>
      <c r="C609" s="3" t="s">
        <v>73</v>
      </c>
      <c r="D609" s="5">
        <v>44771</v>
      </c>
      <c r="E609" s="8">
        <v>913</v>
      </c>
    </row>
    <row r="610" spans="1:5">
      <c r="A610" s="3" t="s">
        <v>20</v>
      </c>
      <c r="B610" s="3" t="s">
        <v>18</v>
      </c>
      <c r="C610" s="3" t="s">
        <v>41</v>
      </c>
      <c r="D610" s="5">
        <v>44771</v>
      </c>
      <c r="E610" s="8">
        <v>11921</v>
      </c>
    </row>
    <row r="611" spans="1:5">
      <c r="A611" s="3" t="s">
        <v>42</v>
      </c>
      <c r="B611" s="3" t="s">
        <v>2</v>
      </c>
      <c r="C611" s="3" t="s">
        <v>2</v>
      </c>
      <c r="D611" s="5">
        <v>44771</v>
      </c>
      <c r="E611" s="8">
        <v>817603</v>
      </c>
    </row>
    <row r="612" spans="1:5">
      <c r="A612" s="3" t="s">
        <v>42</v>
      </c>
      <c r="B612" s="3" t="s">
        <v>2</v>
      </c>
      <c r="C612" s="3" t="s">
        <v>43</v>
      </c>
      <c r="D612" s="5">
        <v>44771</v>
      </c>
      <c r="E612" s="8">
        <v>563770</v>
      </c>
    </row>
    <row r="613" spans="1:5">
      <c r="A613" s="3" t="s">
        <v>42</v>
      </c>
      <c r="B613" s="3" t="s">
        <v>2</v>
      </c>
      <c r="C613" s="3" t="s">
        <v>83</v>
      </c>
      <c r="D613" s="5">
        <v>44771</v>
      </c>
      <c r="E613" s="8">
        <v>131824</v>
      </c>
    </row>
    <row r="614" spans="1:5">
      <c r="A614" s="3" t="s">
        <v>42</v>
      </c>
      <c r="B614" s="3" t="s">
        <v>2</v>
      </c>
      <c r="C614" s="3" t="s">
        <v>44</v>
      </c>
      <c r="D614" s="5">
        <v>44771</v>
      </c>
      <c r="E614" s="8">
        <v>136520</v>
      </c>
    </row>
    <row r="615" spans="1:5">
      <c r="A615" s="3" t="s">
        <v>42</v>
      </c>
      <c r="B615" s="3" t="s">
        <v>2</v>
      </c>
      <c r="C615" s="3" t="s">
        <v>45</v>
      </c>
      <c r="D615" s="5">
        <v>44771</v>
      </c>
      <c r="E615" s="8">
        <v>157249</v>
      </c>
    </row>
    <row r="616" spans="1:5">
      <c r="A616" s="3" t="s">
        <v>42</v>
      </c>
      <c r="B616" s="3" t="s">
        <v>2</v>
      </c>
      <c r="C616" s="3" t="s">
        <v>80</v>
      </c>
      <c r="D616" s="5">
        <v>44771</v>
      </c>
      <c r="E616" s="8">
        <v>17718</v>
      </c>
    </row>
    <row r="617" spans="1:5">
      <c r="A617" s="3" t="s">
        <v>42</v>
      </c>
      <c r="B617" s="3" t="s">
        <v>3</v>
      </c>
      <c r="C617" s="3" t="s">
        <v>3</v>
      </c>
      <c r="D617" s="5">
        <v>44771</v>
      </c>
      <c r="E617" s="8">
        <v>206162</v>
      </c>
    </row>
    <row r="618" spans="1:5">
      <c r="A618" s="3" t="s">
        <v>42</v>
      </c>
      <c r="B618" s="3" t="s">
        <v>3</v>
      </c>
      <c r="C618" s="3" t="s">
        <v>46</v>
      </c>
      <c r="D618" s="5">
        <v>44771</v>
      </c>
      <c r="E618" s="8">
        <v>117511</v>
      </c>
    </row>
    <row r="619" spans="1:5">
      <c r="A619" s="3" t="s">
        <v>42</v>
      </c>
      <c r="B619" s="3" t="s">
        <v>3</v>
      </c>
      <c r="C619" s="3" t="s">
        <v>4</v>
      </c>
      <c r="D619" s="5">
        <v>44771</v>
      </c>
      <c r="E619" s="8">
        <v>47663</v>
      </c>
    </row>
    <row r="620" spans="1:5">
      <c r="A620" s="3" t="s">
        <v>42</v>
      </c>
      <c r="B620" s="3" t="s">
        <v>3</v>
      </c>
      <c r="C620" s="3" t="s">
        <v>5</v>
      </c>
      <c r="D620" s="5">
        <v>44771</v>
      </c>
      <c r="E620" s="8">
        <v>3407</v>
      </c>
    </row>
    <row r="621" spans="1:5">
      <c r="A621" s="3" t="s">
        <v>42</v>
      </c>
      <c r="B621" s="3" t="s">
        <v>3</v>
      </c>
      <c r="C621" s="3" t="s">
        <v>47</v>
      </c>
      <c r="D621" s="5">
        <v>44771</v>
      </c>
      <c r="E621" s="8">
        <v>7082</v>
      </c>
    </row>
    <row r="622" spans="1:5">
      <c r="A622" s="3" t="s">
        <v>42</v>
      </c>
      <c r="B622" s="3" t="s">
        <v>3</v>
      </c>
      <c r="C622" s="3" t="s">
        <v>48</v>
      </c>
      <c r="D622" s="5">
        <v>44771</v>
      </c>
      <c r="E622" s="8">
        <v>6958</v>
      </c>
    </row>
    <row r="623" spans="1:5">
      <c r="A623" s="3" t="s">
        <v>42</v>
      </c>
      <c r="B623" s="3" t="s">
        <v>3</v>
      </c>
      <c r="C623" s="3" t="s">
        <v>49</v>
      </c>
      <c r="D623" s="5">
        <v>44771</v>
      </c>
      <c r="E623" s="8">
        <v>39336</v>
      </c>
    </row>
    <row r="624" spans="1:5">
      <c r="A624" s="3" t="s">
        <v>42</v>
      </c>
      <c r="B624" s="3" t="s">
        <v>7</v>
      </c>
      <c r="C624" s="3" t="s">
        <v>7</v>
      </c>
      <c r="D624" s="5">
        <v>44771</v>
      </c>
      <c r="E624" s="8">
        <v>397944</v>
      </c>
    </row>
    <row r="625" spans="1:5">
      <c r="A625" s="3" t="s">
        <v>42</v>
      </c>
      <c r="B625" s="3" t="s">
        <v>7</v>
      </c>
      <c r="C625" s="3" t="s">
        <v>50</v>
      </c>
      <c r="D625" s="5">
        <v>44771</v>
      </c>
      <c r="E625" s="8">
        <v>183590</v>
      </c>
    </row>
    <row r="626" spans="1:5">
      <c r="A626" s="3" t="s">
        <v>42</v>
      </c>
      <c r="B626" s="3" t="s">
        <v>7</v>
      </c>
      <c r="C626" s="3" t="s">
        <v>51</v>
      </c>
      <c r="D626" s="5">
        <v>44771</v>
      </c>
      <c r="E626" s="8">
        <v>145126</v>
      </c>
    </row>
    <row r="627" spans="1:5">
      <c r="A627" s="3" t="s">
        <v>42</v>
      </c>
      <c r="B627" s="3" t="s">
        <v>10</v>
      </c>
      <c r="C627" s="3" t="s">
        <v>10</v>
      </c>
      <c r="D627" s="5">
        <v>44771</v>
      </c>
      <c r="E627" s="8">
        <v>915162</v>
      </c>
    </row>
    <row r="628" spans="1:5">
      <c r="A628" s="3" t="s">
        <v>42</v>
      </c>
      <c r="B628" s="3" t="s">
        <v>10</v>
      </c>
      <c r="C628" s="3" t="s">
        <v>52</v>
      </c>
      <c r="D628" s="5">
        <v>44771</v>
      </c>
      <c r="E628" s="8">
        <v>39021</v>
      </c>
    </row>
    <row r="629" spans="1:5">
      <c r="A629" s="3" t="s">
        <v>42</v>
      </c>
      <c r="B629" s="3" t="s">
        <v>10</v>
      </c>
      <c r="C629" s="3" t="s">
        <v>53</v>
      </c>
      <c r="D629" s="5">
        <v>44771</v>
      </c>
      <c r="E629" s="8">
        <v>418263</v>
      </c>
    </row>
    <row r="630" spans="1:5">
      <c r="A630" s="3" t="s">
        <v>42</v>
      </c>
      <c r="B630" s="3" t="s">
        <v>13</v>
      </c>
      <c r="C630" s="3" t="s">
        <v>13</v>
      </c>
      <c r="D630" s="5">
        <v>44771</v>
      </c>
      <c r="E630" s="8">
        <v>341805</v>
      </c>
    </row>
    <row r="631" spans="1:5">
      <c r="A631" s="3" t="s">
        <v>42</v>
      </c>
      <c r="B631" s="3" t="s">
        <v>13</v>
      </c>
      <c r="C631" s="3" t="s">
        <v>54</v>
      </c>
      <c r="D631" s="5">
        <v>44771</v>
      </c>
      <c r="E631" s="8">
        <v>69718</v>
      </c>
    </row>
    <row r="632" spans="1:5">
      <c r="A632" s="3" t="s">
        <v>42</v>
      </c>
      <c r="B632" s="3" t="s">
        <v>13</v>
      </c>
      <c r="C632" s="3" t="s">
        <v>55</v>
      </c>
      <c r="D632" s="5">
        <v>44771</v>
      </c>
      <c r="E632" s="8" t="s">
        <v>75</v>
      </c>
    </row>
    <row r="633" spans="1:5">
      <c r="A633" s="3" t="s">
        <v>42</v>
      </c>
      <c r="B633" s="3" t="s">
        <v>13</v>
      </c>
      <c r="C633" s="3" t="s">
        <v>56</v>
      </c>
      <c r="D633" s="5">
        <v>44771</v>
      </c>
      <c r="E633" s="8">
        <v>21897</v>
      </c>
    </row>
    <row r="634" spans="1:5">
      <c r="A634" s="3" t="s">
        <v>42</v>
      </c>
      <c r="B634" s="3" t="s">
        <v>13</v>
      </c>
      <c r="C634" s="3" t="s">
        <v>57</v>
      </c>
      <c r="D634" s="5">
        <v>44771</v>
      </c>
      <c r="E634" s="8" t="s">
        <v>75</v>
      </c>
    </row>
    <row r="635" spans="1:5">
      <c r="A635" s="3" t="s">
        <v>42</v>
      </c>
      <c r="B635" s="3" t="s">
        <v>16</v>
      </c>
      <c r="C635" s="3" t="s">
        <v>58</v>
      </c>
      <c r="D635" s="5">
        <v>44771</v>
      </c>
      <c r="E635" s="8">
        <v>38535</v>
      </c>
    </row>
    <row r="636" spans="1:5">
      <c r="A636" s="3" t="s">
        <v>42</v>
      </c>
      <c r="B636" s="3" t="s">
        <v>16</v>
      </c>
      <c r="C636" s="3" t="s">
        <v>59</v>
      </c>
      <c r="D636" s="5">
        <v>44771</v>
      </c>
      <c r="E636" s="8">
        <v>45438</v>
      </c>
    </row>
    <row r="637" spans="1:5">
      <c r="A637" s="3" t="s">
        <v>42</v>
      </c>
      <c r="B637" s="3" t="s">
        <v>16</v>
      </c>
      <c r="C637" s="3" t="s">
        <v>60</v>
      </c>
      <c r="D637" s="5">
        <v>44771</v>
      </c>
      <c r="E637" s="8">
        <v>26517</v>
      </c>
    </row>
    <row r="638" spans="1:5">
      <c r="A638" s="3" t="s">
        <v>42</v>
      </c>
      <c r="B638" s="3" t="s">
        <v>86</v>
      </c>
      <c r="C638" s="3" t="s">
        <v>89</v>
      </c>
      <c r="D638" s="5">
        <v>44771</v>
      </c>
      <c r="E638" s="8">
        <v>12426</v>
      </c>
    </row>
    <row r="639" spans="1:5">
      <c r="A639" s="3" t="s">
        <v>42</v>
      </c>
      <c r="B639" s="3" t="s">
        <v>18</v>
      </c>
      <c r="C639" s="3" t="s">
        <v>18</v>
      </c>
      <c r="D639" s="5">
        <v>44771</v>
      </c>
      <c r="E639" s="8">
        <v>44821</v>
      </c>
    </row>
    <row r="640" spans="1:5">
      <c r="A640" s="3" t="s">
        <v>42</v>
      </c>
      <c r="B640" s="3" t="s">
        <v>18</v>
      </c>
      <c r="C640" s="3" t="s">
        <v>62</v>
      </c>
      <c r="D640" s="5">
        <v>44771</v>
      </c>
      <c r="E640" s="8">
        <v>12995</v>
      </c>
    </row>
    <row r="641" spans="1:5">
      <c r="A641" s="3" t="s">
        <v>42</v>
      </c>
      <c r="B641" s="3" t="s">
        <v>18</v>
      </c>
      <c r="C641" s="3" t="s">
        <v>63</v>
      </c>
      <c r="D641" s="5">
        <v>44771</v>
      </c>
      <c r="E641" s="8">
        <v>998</v>
      </c>
    </row>
    <row r="642" spans="1:5">
      <c r="A642" s="3" t="s">
        <v>79</v>
      </c>
      <c r="B642" s="3" t="s">
        <v>2</v>
      </c>
      <c r="C642" s="3" t="s">
        <v>64</v>
      </c>
      <c r="D642" s="5">
        <v>44771</v>
      </c>
      <c r="E642" s="8">
        <v>216431</v>
      </c>
    </row>
    <row r="643" spans="1:5">
      <c r="A643" s="3" t="s">
        <v>79</v>
      </c>
      <c r="B643" s="3" t="s">
        <v>3</v>
      </c>
      <c r="C643" s="3" t="s">
        <v>65</v>
      </c>
      <c r="D643" s="5">
        <v>44771</v>
      </c>
      <c r="E643" s="8">
        <v>118342</v>
      </c>
    </row>
    <row r="644" spans="1:5">
      <c r="A644" s="3" t="s">
        <v>79</v>
      </c>
      <c r="B644" s="3" t="s">
        <v>3</v>
      </c>
      <c r="C644" s="3" t="s">
        <v>66</v>
      </c>
      <c r="D644" s="5">
        <v>44771</v>
      </c>
      <c r="E644" s="8">
        <v>8104</v>
      </c>
    </row>
    <row r="645" spans="1:5">
      <c r="A645" s="3" t="s">
        <v>79</v>
      </c>
      <c r="B645" s="3" t="s">
        <v>3</v>
      </c>
      <c r="C645" s="3" t="s">
        <v>67</v>
      </c>
      <c r="D645" s="5">
        <v>44771</v>
      </c>
      <c r="E645" s="8">
        <v>8958</v>
      </c>
    </row>
    <row r="646" spans="1:5">
      <c r="A646" s="3" t="s">
        <v>79</v>
      </c>
      <c r="B646" s="3" t="s">
        <v>3</v>
      </c>
      <c r="C646" s="3" t="s">
        <v>68</v>
      </c>
      <c r="D646" s="5">
        <v>44771</v>
      </c>
      <c r="E646" s="8">
        <v>24078</v>
      </c>
    </row>
    <row r="647" spans="1:5">
      <c r="A647" s="3" t="s">
        <v>79</v>
      </c>
      <c r="B647" s="3" t="s">
        <v>7</v>
      </c>
      <c r="C647" s="3" t="s">
        <v>69</v>
      </c>
      <c r="D647" s="5">
        <v>44771</v>
      </c>
      <c r="E647" s="8">
        <v>243009</v>
      </c>
    </row>
    <row r="648" spans="1:5">
      <c r="A648" s="3" t="s">
        <v>79</v>
      </c>
      <c r="B648" s="3" t="s">
        <v>10</v>
      </c>
      <c r="C648" s="3" t="s">
        <v>53</v>
      </c>
      <c r="D648" s="5">
        <v>44771</v>
      </c>
      <c r="E648" s="8">
        <v>84554</v>
      </c>
    </row>
    <row r="649" spans="1:5">
      <c r="A649" s="3" t="s">
        <v>79</v>
      </c>
      <c r="B649" s="3" t="s">
        <v>10</v>
      </c>
      <c r="C649" s="3" t="s">
        <v>10</v>
      </c>
      <c r="D649" s="5">
        <v>44771</v>
      </c>
      <c r="E649" s="8">
        <v>98723</v>
      </c>
    </row>
    <row r="650" spans="1:5">
      <c r="A650" s="3" t="s">
        <v>79</v>
      </c>
      <c r="B650" s="3" t="s">
        <v>13</v>
      </c>
      <c r="C650" s="3" t="s">
        <v>70</v>
      </c>
      <c r="D650" s="5">
        <v>44771</v>
      </c>
      <c r="E650" s="8">
        <v>118921</v>
      </c>
    </row>
    <row r="651" spans="1:5">
      <c r="A651" s="3" t="s">
        <v>79</v>
      </c>
      <c r="B651" s="3" t="s">
        <v>16</v>
      </c>
      <c r="C651" s="3" t="s">
        <v>16</v>
      </c>
      <c r="D651" s="5">
        <v>44771</v>
      </c>
      <c r="E651" s="8">
        <v>25657</v>
      </c>
    </row>
    <row r="652" spans="1:5">
      <c r="A652" s="3" t="s">
        <v>79</v>
      </c>
      <c r="B652" s="3" t="s">
        <v>86</v>
      </c>
      <c r="C652" s="3" t="s">
        <v>86</v>
      </c>
      <c r="D652" s="5">
        <v>44771</v>
      </c>
      <c r="E652" s="8">
        <v>39650</v>
      </c>
    </row>
    <row r="653" spans="1:5">
      <c r="A653" s="3" t="s">
        <v>79</v>
      </c>
      <c r="B653" s="3" t="s">
        <v>18</v>
      </c>
      <c r="C653" s="3" t="s">
        <v>72</v>
      </c>
      <c r="D653" s="5">
        <v>44771</v>
      </c>
      <c r="E653" s="8">
        <v>36528</v>
      </c>
    </row>
    <row r="654" spans="1:5">
      <c r="A654" s="3" t="s">
        <v>1</v>
      </c>
      <c r="B654" s="3" t="s">
        <v>2</v>
      </c>
      <c r="C654" s="3" t="s">
        <v>2</v>
      </c>
      <c r="D654" s="5">
        <v>44802</v>
      </c>
      <c r="E654" s="8">
        <v>2769931</v>
      </c>
    </row>
    <row r="655" spans="1:5">
      <c r="A655" s="3" t="s">
        <v>1</v>
      </c>
      <c r="B655" s="3" t="s">
        <v>3</v>
      </c>
      <c r="C655" s="3" t="s">
        <v>3</v>
      </c>
      <c r="D655" s="5">
        <v>44802</v>
      </c>
      <c r="E655" s="8">
        <v>3941267</v>
      </c>
    </row>
    <row r="656" spans="1:5">
      <c r="A656" s="3" t="s">
        <v>1</v>
      </c>
      <c r="B656" s="3" t="s">
        <v>3</v>
      </c>
      <c r="C656" s="3" t="s">
        <v>4</v>
      </c>
      <c r="D656" s="5">
        <v>44802</v>
      </c>
      <c r="E656" s="8">
        <v>96789</v>
      </c>
    </row>
    <row r="657" spans="1:5">
      <c r="A657" s="3" t="s">
        <v>1</v>
      </c>
      <c r="B657" s="3" t="s">
        <v>3</v>
      </c>
      <c r="C657" s="3" t="s">
        <v>5</v>
      </c>
      <c r="D657" s="5">
        <v>44802</v>
      </c>
      <c r="E657" s="8">
        <v>14885</v>
      </c>
    </row>
    <row r="658" spans="1:5">
      <c r="A658" s="3" t="s">
        <v>1</v>
      </c>
      <c r="B658" s="3" t="s">
        <v>3</v>
      </c>
      <c r="C658" s="3" t="s">
        <v>6</v>
      </c>
      <c r="D658" s="5">
        <v>44802</v>
      </c>
      <c r="E658" s="8">
        <v>159372</v>
      </c>
    </row>
    <row r="659" spans="1:5">
      <c r="A659" s="3" t="s">
        <v>1</v>
      </c>
      <c r="B659" s="3" t="s">
        <v>7</v>
      </c>
      <c r="C659" s="3" t="s">
        <v>7</v>
      </c>
      <c r="D659" s="5">
        <v>44802</v>
      </c>
      <c r="E659" s="8">
        <v>3692814</v>
      </c>
    </row>
    <row r="660" spans="1:5">
      <c r="A660" s="3" t="s">
        <v>1</v>
      </c>
      <c r="B660" s="3" t="s">
        <v>7</v>
      </c>
      <c r="C660" s="3" t="s">
        <v>8</v>
      </c>
      <c r="D660" s="5">
        <v>44802</v>
      </c>
      <c r="E660" s="8">
        <v>414907</v>
      </c>
    </row>
    <row r="661" spans="1:5">
      <c r="A661" s="3" t="s">
        <v>1</v>
      </c>
      <c r="B661" s="3" t="s">
        <v>7</v>
      </c>
      <c r="C661" s="3" t="s">
        <v>9</v>
      </c>
      <c r="D661" s="5">
        <v>44802</v>
      </c>
      <c r="E661" s="8">
        <v>211513</v>
      </c>
    </row>
    <row r="662" spans="1:5">
      <c r="A662" s="3" t="s">
        <v>1</v>
      </c>
      <c r="B662" s="3" t="s">
        <v>10</v>
      </c>
      <c r="C662" s="3" t="s">
        <v>10</v>
      </c>
      <c r="D662" s="5">
        <v>44802</v>
      </c>
      <c r="E662" s="8">
        <v>1205876</v>
      </c>
    </row>
    <row r="663" spans="1:5">
      <c r="A663" s="3" t="s">
        <v>1</v>
      </c>
      <c r="B663" s="3" t="s">
        <v>10</v>
      </c>
      <c r="C663" s="3" t="s">
        <v>11</v>
      </c>
      <c r="D663" s="5">
        <v>44802</v>
      </c>
      <c r="E663" s="8">
        <v>1142147</v>
      </c>
    </row>
    <row r="664" spans="1:5">
      <c r="A664" s="3" t="s">
        <v>1</v>
      </c>
      <c r="B664" s="3" t="s">
        <v>10</v>
      </c>
      <c r="C664" s="3" t="s">
        <v>12</v>
      </c>
      <c r="D664" s="5">
        <v>44802</v>
      </c>
      <c r="E664" s="8">
        <v>215693</v>
      </c>
    </row>
    <row r="665" spans="1:5">
      <c r="A665" s="3" t="s">
        <v>1</v>
      </c>
      <c r="B665" s="3" t="s">
        <v>13</v>
      </c>
      <c r="C665" s="3" t="s">
        <v>13</v>
      </c>
      <c r="D665" s="5">
        <v>44802</v>
      </c>
      <c r="E665" s="8">
        <v>1152196</v>
      </c>
    </row>
    <row r="666" spans="1:5">
      <c r="A666" s="3" t="s">
        <v>1</v>
      </c>
      <c r="B666" s="3" t="s">
        <v>13</v>
      </c>
      <c r="C666" s="3" t="s">
        <v>14</v>
      </c>
      <c r="D666" s="5">
        <v>44802</v>
      </c>
      <c r="E666" s="8">
        <v>191453</v>
      </c>
    </row>
    <row r="667" spans="1:5">
      <c r="A667" s="3" t="s">
        <v>1</v>
      </c>
      <c r="B667" s="3" t="s">
        <v>13</v>
      </c>
      <c r="C667" s="3" t="s">
        <v>15</v>
      </c>
      <c r="D667" s="5">
        <v>44802</v>
      </c>
      <c r="E667" s="8"/>
    </row>
    <row r="668" spans="1:5">
      <c r="A668" s="3" t="s">
        <v>1</v>
      </c>
      <c r="B668" s="3" t="s">
        <v>16</v>
      </c>
      <c r="C668" s="3" t="s">
        <v>16</v>
      </c>
      <c r="D668" s="5">
        <v>44802</v>
      </c>
      <c r="E668" s="8">
        <v>343275</v>
      </c>
    </row>
    <row r="669" spans="1:5">
      <c r="A669" s="3" t="s">
        <v>1</v>
      </c>
      <c r="B669" s="3" t="s">
        <v>86</v>
      </c>
      <c r="C669" s="3" t="s">
        <v>86</v>
      </c>
      <c r="D669" s="5">
        <v>44802</v>
      </c>
      <c r="E669" s="8">
        <v>353601</v>
      </c>
    </row>
    <row r="670" spans="1:5">
      <c r="A670" s="3" t="s">
        <v>1</v>
      </c>
      <c r="B670" s="3" t="s">
        <v>18</v>
      </c>
      <c r="C670" s="3" t="s">
        <v>19</v>
      </c>
      <c r="D670" s="5">
        <v>44802</v>
      </c>
      <c r="E670" s="8">
        <v>329481</v>
      </c>
    </row>
    <row r="671" spans="1:5">
      <c r="A671" s="3" t="s">
        <v>20</v>
      </c>
      <c r="B671" s="3" t="s">
        <v>2</v>
      </c>
      <c r="C671" s="3" t="s">
        <v>2</v>
      </c>
      <c r="D671" s="5">
        <v>44802</v>
      </c>
      <c r="E671" s="8">
        <v>2241791</v>
      </c>
    </row>
    <row r="672" spans="1:5">
      <c r="A672" s="3" t="s">
        <v>20</v>
      </c>
      <c r="B672" s="3" t="s">
        <v>2</v>
      </c>
      <c r="C672" s="3" t="s">
        <v>21</v>
      </c>
      <c r="D672" s="5">
        <v>44802</v>
      </c>
      <c r="E672" s="8">
        <v>347786</v>
      </c>
    </row>
    <row r="673" spans="1:5">
      <c r="A673" s="3" t="s">
        <v>20</v>
      </c>
      <c r="B673" s="3" t="s">
        <v>2</v>
      </c>
      <c r="C673" s="3" t="s">
        <v>22</v>
      </c>
      <c r="D673" s="5">
        <v>44802</v>
      </c>
      <c r="E673" s="8">
        <v>302435</v>
      </c>
    </row>
    <row r="674" spans="1:5">
      <c r="A674" s="3" t="s">
        <v>20</v>
      </c>
      <c r="B674" s="3" t="s">
        <v>2</v>
      </c>
      <c r="C674" s="3" t="s">
        <v>23</v>
      </c>
      <c r="D674" s="5">
        <v>44802</v>
      </c>
      <c r="E674" s="8">
        <v>653937</v>
      </c>
    </row>
    <row r="675" spans="1:5">
      <c r="A675" s="3" t="s">
        <v>20</v>
      </c>
      <c r="B675" s="3" t="s">
        <v>2</v>
      </c>
      <c r="C675" s="3" t="s">
        <v>24</v>
      </c>
      <c r="D675" s="5">
        <v>44802</v>
      </c>
      <c r="E675" s="8">
        <v>20590</v>
      </c>
    </row>
    <row r="676" spans="1:5">
      <c r="A676" s="3" t="s">
        <v>20</v>
      </c>
      <c r="B676" s="3" t="s">
        <v>3</v>
      </c>
      <c r="C676" s="3" t="s">
        <v>3</v>
      </c>
      <c r="D676" s="5">
        <v>44802</v>
      </c>
      <c r="E676" s="8">
        <v>575524</v>
      </c>
    </row>
    <row r="677" spans="1:5">
      <c r="A677" s="3" t="s">
        <v>20</v>
      </c>
      <c r="B677" s="3" t="s">
        <v>3</v>
      </c>
      <c r="C677" s="3" t="s">
        <v>25</v>
      </c>
      <c r="D677" s="5">
        <v>44802</v>
      </c>
      <c r="E677" s="8">
        <v>31093</v>
      </c>
    </row>
    <row r="678" spans="1:5">
      <c r="A678" s="3" t="s">
        <v>20</v>
      </c>
      <c r="B678" s="3" t="s">
        <v>7</v>
      </c>
      <c r="C678" s="3" t="s">
        <v>7</v>
      </c>
      <c r="D678" s="5">
        <v>44802</v>
      </c>
      <c r="E678" s="8">
        <v>367441</v>
      </c>
    </row>
    <row r="679" spans="1:5">
      <c r="A679" s="3" t="s">
        <v>20</v>
      </c>
      <c r="B679" s="3" t="s">
        <v>7</v>
      </c>
      <c r="C679" s="3" t="s">
        <v>8</v>
      </c>
      <c r="D679" s="5">
        <v>44802</v>
      </c>
      <c r="E679" s="8">
        <v>3283996</v>
      </c>
    </row>
    <row r="680" spans="1:5">
      <c r="A680" s="3" t="s">
        <v>20</v>
      </c>
      <c r="B680" s="3" t="s">
        <v>7</v>
      </c>
      <c r="C680" s="3" t="s">
        <v>26</v>
      </c>
      <c r="D680" s="5">
        <v>44802</v>
      </c>
      <c r="E680" s="8">
        <v>38041</v>
      </c>
    </row>
    <row r="681" spans="1:5">
      <c r="A681" s="3" t="s">
        <v>20</v>
      </c>
      <c r="B681" s="3" t="s">
        <v>10</v>
      </c>
      <c r="C681" s="3" t="s">
        <v>10</v>
      </c>
      <c r="D681" s="5">
        <v>44802</v>
      </c>
      <c r="E681" s="8">
        <v>3792508</v>
      </c>
    </row>
    <row r="682" spans="1:5">
      <c r="A682" s="3" t="s">
        <v>20</v>
      </c>
      <c r="B682" s="3" t="s">
        <v>10</v>
      </c>
      <c r="C682" s="3" t="s">
        <v>27</v>
      </c>
      <c r="D682" s="5">
        <v>44802</v>
      </c>
      <c r="E682" s="8">
        <v>14000</v>
      </c>
    </row>
    <row r="683" spans="1:5">
      <c r="A683" s="3" t="s">
        <v>20</v>
      </c>
      <c r="B683" s="3" t="s">
        <v>10</v>
      </c>
      <c r="C683" s="3" t="s">
        <v>82</v>
      </c>
      <c r="D683" s="5">
        <v>44802</v>
      </c>
      <c r="E683" s="8">
        <v>57631</v>
      </c>
    </row>
    <row r="684" spans="1:5">
      <c r="A684" s="3" t="s">
        <v>20</v>
      </c>
      <c r="B684" s="3" t="s">
        <v>13</v>
      </c>
      <c r="C684" s="3" t="s">
        <v>13</v>
      </c>
      <c r="D684" s="5">
        <v>44802</v>
      </c>
      <c r="E684" s="8">
        <v>1926731</v>
      </c>
    </row>
    <row r="685" spans="1:5">
      <c r="A685" s="3" t="s">
        <v>20</v>
      </c>
      <c r="B685" s="3" t="s">
        <v>13</v>
      </c>
      <c r="C685" s="3" t="s">
        <v>81</v>
      </c>
      <c r="D685" s="5">
        <v>44802</v>
      </c>
      <c r="E685" s="8">
        <v>106361</v>
      </c>
    </row>
    <row r="686" spans="1:5">
      <c r="A686" s="3" t="s">
        <v>20</v>
      </c>
      <c r="B686" s="3" t="s">
        <v>13</v>
      </c>
      <c r="C686" s="3" t="s">
        <v>28</v>
      </c>
      <c r="D686" s="5">
        <v>44802</v>
      </c>
      <c r="E686" s="8"/>
    </row>
    <row r="687" spans="1:5">
      <c r="A687" s="3" t="s">
        <v>20</v>
      </c>
      <c r="B687" s="3" t="s">
        <v>16</v>
      </c>
      <c r="C687" s="3" t="s">
        <v>16</v>
      </c>
      <c r="D687" s="5">
        <v>44802</v>
      </c>
      <c r="E687" s="8">
        <v>242333</v>
      </c>
    </row>
    <row r="688" spans="1:5">
      <c r="A688" s="3" t="s">
        <v>20</v>
      </c>
      <c r="B688" s="3" t="s">
        <v>16</v>
      </c>
      <c r="C688" s="3" t="s">
        <v>29</v>
      </c>
      <c r="D688" s="5">
        <v>44802</v>
      </c>
      <c r="E688" s="8">
        <v>14838</v>
      </c>
    </row>
    <row r="689" spans="1:5">
      <c r="A689" s="3" t="s">
        <v>20</v>
      </c>
      <c r="B689" s="3" t="s">
        <v>16</v>
      </c>
      <c r="C689" s="3" t="s">
        <v>30</v>
      </c>
      <c r="D689" s="5">
        <v>44802</v>
      </c>
      <c r="E689" s="8">
        <v>11457</v>
      </c>
    </row>
    <row r="690" spans="1:5">
      <c r="A690" s="3" t="s">
        <v>20</v>
      </c>
      <c r="B690" s="3" t="s">
        <v>16</v>
      </c>
      <c r="C690" s="3" t="s">
        <v>31</v>
      </c>
      <c r="D690" s="5">
        <v>44802</v>
      </c>
      <c r="E690" s="8">
        <v>7817</v>
      </c>
    </row>
    <row r="691" spans="1:5">
      <c r="A691" s="3" t="s">
        <v>20</v>
      </c>
      <c r="B691" s="3" t="s">
        <v>16</v>
      </c>
      <c r="C691" s="3" t="s">
        <v>32</v>
      </c>
      <c r="D691" s="5">
        <v>44802</v>
      </c>
      <c r="E691" s="8">
        <v>8331</v>
      </c>
    </row>
    <row r="692" spans="1:5">
      <c r="A692" s="3" t="s">
        <v>20</v>
      </c>
      <c r="B692" s="3" t="s">
        <v>16</v>
      </c>
      <c r="C692" s="3" t="s">
        <v>33</v>
      </c>
      <c r="D692" s="5">
        <v>44802</v>
      </c>
      <c r="E692" s="8"/>
    </row>
    <row r="693" spans="1:5">
      <c r="A693" s="3" t="s">
        <v>20</v>
      </c>
      <c r="B693" s="3" t="s">
        <v>86</v>
      </c>
      <c r="C693" s="3" t="s">
        <v>86</v>
      </c>
      <c r="D693" s="5">
        <v>44802</v>
      </c>
      <c r="E693" s="8">
        <v>84175</v>
      </c>
    </row>
    <row r="694" spans="1:5">
      <c r="A694" s="3" t="s">
        <v>20</v>
      </c>
      <c r="B694" s="3" t="s">
        <v>86</v>
      </c>
      <c r="C694" s="3" t="s">
        <v>92</v>
      </c>
      <c r="D694" s="5">
        <v>44802</v>
      </c>
      <c r="E694" s="8">
        <v>6431</v>
      </c>
    </row>
    <row r="695" spans="1:5">
      <c r="A695" s="3" t="s">
        <v>20</v>
      </c>
      <c r="B695" s="3" t="s">
        <v>86</v>
      </c>
      <c r="C695" s="3" t="s">
        <v>93</v>
      </c>
      <c r="D695" s="5">
        <v>44802</v>
      </c>
      <c r="E695" s="8">
        <v>9046</v>
      </c>
    </row>
    <row r="696" spans="1:5">
      <c r="A696" s="3" t="s">
        <v>20</v>
      </c>
      <c r="B696" s="3" t="s">
        <v>86</v>
      </c>
      <c r="C696" s="3" t="s">
        <v>94</v>
      </c>
      <c r="D696" s="5">
        <v>44802</v>
      </c>
      <c r="E696" s="8">
        <v>8545</v>
      </c>
    </row>
    <row r="697" spans="1:5">
      <c r="A697" s="3" t="s">
        <v>20</v>
      </c>
      <c r="B697" s="3" t="s">
        <v>86</v>
      </c>
      <c r="C697" s="3" t="s">
        <v>95</v>
      </c>
      <c r="D697" s="5">
        <v>44802</v>
      </c>
      <c r="E697" s="8">
        <v>10250</v>
      </c>
    </row>
    <row r="698" spans="1:5">
      <c r="A698" s="3" t="s">
        <v>20</v>
      </c>
      <c r="B698" s="3" t="s">
        <v>18</v>
      </c>
      <c r="C698" s="3" t="s">
        <v>19</v>
      </c>
      <c r="D698" s="5">
        <v>44802</v>
      </c>
      <c r="E698" s="8">
        <v>381010</v>
      </c>
    </row>
    <row r="699" spans="1:5">
      <c r="A699" s="3" t="s">
        <v>20</v>
      </c>
      <c r="B699" s="3" t="s">
        <v>18</v>
      </c>
      <c r="C699" s="3" t="s">
        <v>38</v>
      </c>
      <c r="D699" s="5">
        <v>44802</v>
      </c>
      <c r="E699" s="8">
        <v>5381</v>
      </c>
    </row>
    <row r="700" spans="1:5">
      <c r="A700" s="3" t="s">
        <v>20</v>
      </c>
      <c r="B700" s="3" t="s">
        <v>18</v>
      </c>
      <c r="C700" s="3" t="s">
        <v>39</v>
      </c>
      <c r="D700" s="5">
        <v>44802</v>
      </c>
      <c r="E700" s="8">
        <v>381010</v>
      </c>
    </row>
    <row r="701" spans="1:5">
      <c r="A701" s="3" t="s">
        <v>20</v>
      </c>
      <c r="B701" s="3" t="s">
        <v>18</v>
      </c>
      <c r="C701" s="3" t="s">
        <v>40</v>
      </c>
      <c r="D701" s="5">
        <v>44802</v>
      </c>
      <c r="E701" s="8">
        <v>4517</v>
      </c>
    </row>
    <row r="702" spans="1:5">
      <c r="A702" s="3" t="s">
        <v>20</v>
      </c>
      <c r="B702" s="3" t="s">
        <v>18</v>
      </c>
      <c r="C702" s="3" t="s">
        <v>73</v>
      </c>
      <c r="D702" s="5">
        <v>44802</v>
      </c>
      <c r="E702" s="8">
        <v>926</v>
      </c>
    </row>
    <row r="703" spans="1:5">
      <c r="A703" s="3" t="s">
        <v>20</v>
      </c>
      <c r="B703" s="3" t="s">
        <v>18</v>
      </c>
      <c r="C703" s="3" t="s">
        <v>41</v>
      </c>
      <c r="D703" s="5">
        <v>44802</v>
      </c>
      <c r="E703" s="8">
        <v>12335</v>
      </c>
    </row>
    <row r="704" spans="1:5">
      <c r="A704" s="3" t="s">
        <v>42</v>
      </c>
      <c r="B704" s="3" t="s">
        <v>2</v>
      </c>
      <c r="C704" s="3" t="s">
        <v>2</v>
      </c>
      <c r="D704" s="5">
        <v>44802</v>
      </c>
      <c r="E704" s="8">
        <v>876956</v>
      </c>
    </row>
    <row r="705" spans="1:5">
      <c r="A705" s="3" t="s">
        <v>42</v>
      </c>
      <c r="B705" s="3" t="s">
        <v>2</v>
      </c>
      <c r="C705" s="3" t="s">
        <v>43</v>
      </c>
      <c r="D705" s="5">
        <v>44802</v>
      </c>
      <c r="E705" s="8">
        <v>564801</v>
      </c>
    </row>
    <row r="706" spans="1:5">
      <c r="A706" s="3" t="s">
        <v>42</v>
      </c>
      <c r="B706" s="3" t="s">
        <v>2</v>
      </c>
      <c r="C706" s="3" t="s">
        <v>83</v>
      </c>
      <c r="D706" s="5">
        <v>44802</v>
      </c>
      <c r="E706" s="8">
        <v>132492</v>
      </c>
    </row>
    <row r="707" spans="1:5">
      <c r="A707" s="3" t="s">
        <v>42</v>
      </c>
      <c r="B707" s="3" t="s">
        <v>2</v>
      </c>
      <c r="C707" s="3" t="s">
        <v>44</v>
      </c>
      <c r="D707" s="5">
        <v>44802</v>
      </c>
      <c r="E707" s="8">
        <v>136769</v>
      </c>
    </row>
    <row r="708" spans="1:5">
      <c r="A708" s="3" t="s">
        <v>42</v>
      </c>
      <c r="B708" s="3" t="s">
        <v>2</v>
      </c>
      <c r="C708" s="3" t="s">
        <v>45</v>
      </c>
      <c r="D708" s="5">
        <v>44802</v>
      </c>
      <c r="E708" s="8">
        <v>157122</v>
      </c>
    </row>
    <row r="709" spans="1:5">
      <c r="A709" s="3" t="s">
        <v>42</v>
      </c>
      <c r="B709" s="3" t="s">
        <v>2</v>
      </c>
      <c r="C709" s="3" t="s">
        <v>80</v>
      </c>
      <c r="D709" s="5">
        <v>44802</v>
      </c>
      <c r="E709" s="8">
        <v>17846</v>
      </c>
    </row>
    <row r="710" spans="1:5">
      <c r="A710" s="3" t="s">
        <v>42</v>
      </c>
      <c r="B710" s="3" t="s">
        <v>3</v>
      </c>
      <c r="C710" s="3" t="s">
        <v>3</v>
      </c>
      <c r="D710" s="5">
        <v>44802</v>
      </c>
      <c r="E710" s="8">
        <v>206636</v>
      </c>
    </row>
    <row r="711" spans="1:5">
      <c r="A711" s="3" t="s">
        <v>42</v>
      </c>
      <c r="B711" s="3" t="s">
        <v>3</v>
      </c>
      <c r="C711" s="3" t="s">
        <v>46</v>
      </c>
      <c r="D711" s="5">
        <v>44802</v>
      </c>
      <c r="E711" s="8">
        <v>117742</v>
      </c>
    </row>
    <row r="712" spans="1:5">
      <c r="A712" s="3" t="s">
        <v>42</v>
      </c>
      <c r="B712" s="3" t="s">
        <v>3</v>
      </c>
      <c r="C712" s="3" t="s">
        <v>4</v>
      </c>
      <c r="D712" s="5">
        <v>44802</v>
      </c>
      <c r="E712" s="8">
        <v>47685</v>
      </c>
    </row>
    <row r="713" spans="1:5">
      <c r="A713" s="3" t="s">
        <v>42</v>
      </c>
      <c r="B713" s="3" t="s">
        <v>3</v>
      </c>
      <c r="C713" s="3" t="s">
        <v>5</v>
      </c>
      <c r="D713" s="5">
        <v>44802</v>
      </c>
      <c r="E713" s="8">
        <v>3413</v>
      </c>
    </row>
    <row r="714" spans="1:5">
      <c r="A714" s="3" t="s">
        <v>42</v>
      </c>
      <c r="B714" s="3" t="s">
        <v>3</v>
      </c>
      <c r="C714" s="3" t="s">
        <v>47</v>
      </c>
      <c r="D714" s="5">
        <v>44802</v>
      </c>
      <c r="E714" s="8">
        <v>7098</v>
      </c>
    </row>
    <row r="715" spans="1:5">
      <c r="A715" s="3" t="s">
        <v>42</v>
      </c>
      <c r="B715" s="3" t="s">
        <v>3</v>
      </c>
      <c r="C715" s="3" t="s">
        <v>48</v>
      </c>
      <c r="D715" s="5">
        <v>44802</v>
      </c>
      <c r="E715" s="8">
        <v>6955</v>
      </c>
    </row>
    <row r="716" spans="1:5">
      <c r="A716" s="3" t="s">
        <v>42</v>
      </c>
      <c r="B716" s="3" t="s">
        <v>3</v>
      </c>
      <c r="C716" s="3" t="s">
        <v>49</v>
      </c>
      <c r="D716" s="5">
        <v>44802</v>
      </c>
      <c r="E716" s="8">
        <v>39295</v>
      </c>
    </row>
    <row r="717" spans="1:5">
      <c r="A717" s="3" t="s">
        <v>42</v>
      </c>
      <c r="B717" s="3" t="s">
        <v>7</v>
      </c>
      <c r="C717" s="3" t="s">
        <v>7</v>
      </c>
      <c r="D717" s="5">
        <v>44802</v>
      </c>
      <c r="E717" s="8">
        <v>399029</v>
      </c>
    </row>
    <row r="718" spans="1:5">
      <c r="A718" s="3" t="s">
        <v>42</v>
      </c>
      <c r="B718" s="3" t="s">
        <v>7</v>
      </c>
      <c r="C718" s="3" t="s">
        <v>50</v>
      </c>
      <c r="D718" s="5">
        <v>44802</v>
      </c>
      <c r="E718" s="8">
        <v>183438</v>
      </c>
    </row>
    <row r="719" spans="1:5">
      <c r="A719" s="3" t="s">
        <v>42</v>
      </c>
      <c r="B719" s="3" t="s">
        <v>7</v>
      </c>
      <c r="C719" s="3" t="s">
        <v>51</v>
      </c>
      <c r="D719" s="5">
        <v>44802</v>
      </c>
      <c r="E719" s="8">
        <v>145723</v>
      </c>
    </row>
    <row r="720" spans="1:5">
      <c r="A720" s="3" t="s">
        <v>42</v>
      </c>
      <c r="B720" s="3" t="s">
        <v>10</v>
      </c>
      <c r="C720" s="3" t="s">
        <v>10</v>
      </c>
      <c r="D720" s="5">
        <v>44802</v>
      </c>
      <c r="E720" s="8">
        <v>915977</v>
      </c>
    </row>
    <row r="721" spans="1:5">
      <c r="A721" s="3" t="s">
        <v>42</v>
      </c>
      <c r="B721" s="3" t="s">
        <v>10</v>
      </c>
      <c r="C721" s="3" t="s">
        <v>52</v>
      </c>
      <c r="D721" s="5">
        <v>44802</v>
      </c>
      <c r="E721" s="8">
        <v>39297</v>
      </c>
    </row>
    <row r="722" spans="1:5">
      <c r="A722" s="3" t="s">
        <v>42</v>
      </c>
      <c r="B722" s="3" t="s">
        <v>10</v>
      </c>
      <c r="C722" s="3" t="s">
        <v>53</v>
      </c>
      <c r="D722" s="5">
        <v>44802</v>
      </c>
      <c r="E722" s="8">
        <v>419057</v>
      </c>
    </row>
    <row r="723" spans="1:5">
      <c r="A723" s="3" t="s">
        <v>42</v>
      </c>
      <c r="B723" s="3" t="s">
        <v>13</v>
      </c>
      <c r="C723" s="3" t="s">
        <v>13</v>
      </c>
      <c r="D723" s="5">
        <v>44802</v>
      </c>
      <c r="E723" s="8">
        <v>343367</v>
      </c>
    </row>
    <row r="724" spans="1:5">
      <c r="A724" s="3" t="s">
        <v>42</v>
      </c>
      <c r="B724" s="3" t="s">
        <v>13</v>
      </c>
      <c r="C724" s="3" t="s">
        <v>54</v>
      </c>
      <c r="D724" s="5">
        <v>44802</v>
      </c>
      <c r="E724" s="8">
        <v>69811</v>
      </c>
    </row>
    <row r="725" spans="1:5">
      <c r="A725" s="3" t="s">
        <v>42</v>
      </c>
      <c r="B725" s="3" t="s">
        <v>13</v>
      </c>
      <c r="C725" s="3" t="s">
        <v>55</v>
      </c>
      <c r="D725" s="5">
        <v>44802</v>
      </c>
      <c r="E725" s="8"/>
    </row>
    <row r="726" spans="1:5">
      <c r="A726" s="3" t="s">
        <v>42</v>
      </c>
      <c r="B726" s="3" t="s">
        <v>13</v>
      </c>
      <c r="C726" s="3" t="s">
        <v>56</v>
      </c>
      <c r="D726" s="5">
        <v>44802</v>
      </c>
      <c r="E726" s="8">
        <v>22021</v>
      </c>
    </row>
    <row r="727" spans="1:5">
      <c r="A727" s="3" t="s">
        <v>42</v>
      </c>
      <c r="B727" s="3" t="s">
        <v>13</v>
      </c>
      <c r="C727" s="3" t="s">
        <v>57</v>
      </c>
      <c r="D727" s="5">
        <v>44802</v>
      </c>
      <c r="E727" s="8"/>
    </row>
    <row r="728" spans="1:5">
      <c r="A728" s="3" t="s">
        <v>42</v>
      </c>
      <c r="B728" s="3" t="s">
        <v>16</v>
      </c>
      <c r="C728" s="3" t="s">
        <v>58</v>
      </c>
      <c r="D728" s="5">
        <v>44802</v>
      </c>
      <c r="E728" s="8">
        <v>38760</v>
      </c>
    </row>
    <row r="729" spans="1:5">
      <c r="A729" s="3" t="s">
        <v>42</v>
      </c>
      <c r="B729" s="3" t="s">
        <v>16</v>
      </c>
      <c r="C729" s="3" t="s">
        <v>59</v>
      </c>
      <c r="D729" s="5">
        <v>44802</v>
      </c>
      <c r="E729" s="8">
        <v>45679</v>
      </c>
    </row>
    <row r="730" spans="1:5">
      <c r="A730" s="3" t="s">
        <v>42</v>
      </c>
      <c r="B730" s="3" t="s">
        <v>16</v>
      </c>
      <c r="C730" s="3" t="s">
        <v>60</v>
      </c>
      <c r="D730" s="5">
        <v>44802</v>
      </c>
      <c r="E730" s="8">
        <v>26526</v>
      </c>
    </row>
    <row r="731" spans="1:5">
      <c r="A731" s="3" t="s">
        <v>42</v>
      </c>
      <c r="B731" s="3" t="s">
        <v>86</v>
      </c>
      <c r="C731" s="3" t="s">
        <v>89</v>
      </c>
      <c r="D731" s="5">
        <v>44802</v>
      </c>
      <c r="E731" s="8">
        <v>12938</v>
      </c>
    </row>
    <row r="732" spans="1:5">
      <c r="A732" s="3" t="s">
        <v>42</v>
      </c>
      <c r="B732" s="3" t="s">
        <v>18</v>
      </c>
      <c r="C732" s="3" t="s">
        <v>18</v>
      </c>
      <c r="D732" s="5">
        <v>44802</v>
      </c>
      <c r="E732" s="8">
        <v>44977</v>
      </c>
    </row>
    <row r="733" spans="1:5">
      <c r="A733" s="3" t="s">
        <v>42</v>
      </c>
      <c r="B733" s="3" t="s">
        <v>18</v>
      </c>
      <c r="C733" s="3" t="s">
        <v>62</v>
      </c>
      <c r="D733" s="5">
        <v>44802</v>
      </c>
      <c r="E733" s="8">
        <v>13040</v>
      </c>
    </row>
    <row r="734" spans="1:5">
      <c r="A734" s="3" t="s">
        <v>42</v>
      </c>
      <c r="B734" s="3" t="s">
        <v>18</v>
      </c>
      <c r="C734" s="3" t="s">
        <v>63</v>
      </c>
      <c r="D734" s="5">
        <v>44802</v>
      </c>
      <c r="E734" s="8">
        <v>1001</v>
      </c>
    </row>
    <row r="735" spans="1:5">
      <c r="A735" s="3" t="s">
        <v>79</v>
      </c>
      <c r="B735" s="3" t="s">
        <v>2</v>
      </c>
      <c r="C735" s="3" t="s">
        <v>64</v>
      </c>
      <c r="D735" s="5">
        <v>44802</v>
      </c>
      <c r="E735" s="8">
        <v>1005</v>
      </c>
    </row>
    <row r="736" spans="1:5">
      <c r="A736" s="3" t="s">
        <v>79</v>
      </c>
      <c r="B736" s="3" t="s">
        <v>3</v>
      </c>
      <c r="C736" s="3" t="s">
        <v>65</v>
      </c>
      <c r="D736" s="5">
        <v>44802</v>
      </c>
      <c r="E736" s="8">
        <v>221249</v>
      </c>
    </row>
    <row r="737" spans="1:5">
      <c r="A737" s="3" t="s">
        <v>79</v>
      </c>
      <c r="B737" s="3" t="s">
        <v>3</v>
      </c>
      <c r="C737" s="3" t="s">
        <v>66</v>
      </c>
      <c r="D737" s="5">
        <v>44802</v>
      </c>
      <c r="E737" s="8">
        <v>120184</v>
      </c>
    </row>
    <row r="738" spans="1:5">
      <c r="A738" s="3" t="s">
        <v>79</v>
      </c>
      <c r="B738" s="3" t="s">
        <v>3</v>
      </c>
      <c r="C738" s="3" t="s">
        <v>67</v>
      </c>
      <c r="D738" s="5">
        <v>44802</v>
      </c>
      <c r="E738" s="8">
        <v>9367</v>
      </c>
    </row>
    <row r="739" spans="1:5">
      <c r="A739" s="3" t="s">
        <v>79</v>
      </c>
      <c r="B739" s="3" t="s">
        <v>3</v>
      </c>
      <c r="C739" s="3" t="s">
        <v>68</v>
      </c>
      <c r="D739" s="5">
        <v>44802</v>
      </c>
      <c r="E739" s="8">
        <v>25324</v>
      </c>
    </row>
    <row r="740" spans="1:5">
      <c r="A740" s="3" t="s">
        <v>79</v>
      </c>
      <c r="B740" s="3" t="s">
        <v>7</v>
      </c>
      <c r="C740" s="3" t="s">
        <v>69</v>
      </c>
      <c r="D740" s="5">
        <v>44802</v>
      </c>
      <c r="E740" s="8">
        <v>245180</v>
      </c>
    </row>
    <row r="741" spans="1:5">
      <c r="A741" s="3" t="s">
        <v>79</v>
      </c>
      <c r="B741" s="3" t="s">
        <v>10</v>
      </c>
      <c r="C741" s="3" t="s">
        <v>53</v>
      </c>
      <c r="D741" s="5">
        <v>44802</v>
      </c>
      <c r="E741" s="8">
        <v>89295</v>
      </c>
    </row>
    <row r="742" spans="1:5">
      <c r="A742" s="3" t="s">
        <v>79</v>
      </c>
      <c r="B742" s="3" t="s">
        <v>10</v>
      </c>
      <c r="C742" s="3" t="s">
        <v>10</v>
      </c>
      <c r="D742" s="5">
        <v>44802</v>
      </c>
      <c r="E742" s="8">
        <v>102277</v>
      </c>
    </row>
    <row r="743" spans="1:5">
      <c r="A743" s="3" t="s">
        <v>79</v>
      </c>
      <c r="B743" s="3" t="s">
        <v>13</v>
      </c>
      <c r="C743" s="3" t="s">
        <v>70</v>
      </c>
      <c r="D743" s="5">
        <v>44802</v>
      </c>
      <c r="E743" s="8">
        <v>120166</v>
      </c>
    </row>
    <row r="744" spans="1:5">
      <c r="A744" s="3" t="s">
        <v>79</v>
      </c>
      <c r="B744" s="3" t="s">
        <v>16</v>
      </c>
      <c r="C744" s="3" t="s">
        <v>16</v>
      </c>
      <c r="D744" s="5">
        <v>44802</v>
      </c>
      <c r="E744" s="8">
        <v>25937</v>
      </c>
    </row>
    <row r="745" spans="1:5">
      <c r="A745" s="3" t="s">
        <v>79</v>
      </c>
      <c r="B745" s="3" t="s">
        <v>86</v>
      </c>
      <c r="C745" s="3" t="s">
        <v>86</v>
      </c>
      <c r="D745" s="5">
        <v>44802</v>
      </c>
      <c r="E745" s="8">
        <v>40226</v>
      </c>
    </row>
    <row r="746" spans="1:5">
      <c r="A746" s="3" t="s">
        <v>79</v>
      </c>
      <c r="B746" s="3" t="s">
        <v>18</v>
      </c>
      <c r="C746" s="3" t="s">
        <v>72</v>
      </c>
      <c r="D746" s="5">
        <v>44802</v>
      </c>
      <c r="E746" s="8">
        <v>37269</v>
      </c>
    </row>
    <row r="747" spans="1:5">
      <c r="A747" s="3" t="s">
        <v>1</v>
      </c>
      <c r="B747" s="3" t="s">
        <v>2</v>
      </c>
      <c r="C747" s="3" t="s">
        <v>2</v>
      </c>
      <c r="D747" s="5">
        <v>44834</v>
      </c>
      <c r="E747" s="8">
        <v>2769844</v>
      </c>
    </row>
    <row r="748" spans="1:5">
      <c r="A748" s="3" t="s">
        <v>1</v>
      </c>
      <c r="B748" s="3" t="s">
        <v>3</v>
      </c>
      <c r="C748" s="3" t="s">
        <v>3</v>
      </c>
      <c r="D748" s="5">
        <v>44834</v>
      </c>
      <c r="E748" s="8">
        <v>3941402</v>
      </c>
    </row>
    <row r="749" spans="1:5">
      <c r="A749" s="3" t="s">
        <v>1</v>
      </c>
      <c r="B749" s="3" t="s">
        <v>3</v>
      </c>
      <c r="C749" s="3" t="s">
        <v>4</v>
      </c>
      <c r="D749" s="5">
        <v>44834</v>
      </c>
      <c r="E749" s="8">
        <v>97107</v>
      </c>
    </row>
    <row r="750" spans="1:5">
      <c r="A750" s="3" t="s">
        <v>1</v>
      </c>
      <c r="B750" s="3" t="s">
        <v>3</v>
      </c>
      <c r="C750" s="3" t="s">
        <v>5</v>
      </c>
      <c r="D750" s="5">
        <v>44834</v>
      </c>
      <c r="E750" s="8">
        <v>14914</v>
      </c>
    </row>
    <row r="751" spans="1:5">
      <c r="A751" s="3" t="s">
        <v>1</v>
      </c>
      <c r="B751" s="3" t="s">
        <v>3</v>
      </c>
      <c r="C751" s="3" t="s">
        <v>6</v>
      </c>
      <c r="D751" s="5">
        <v>44834</v>
      </c>
      <c r="E751" s="8">
        <v>159419</v>
      </c>
    </row>
    <row r="752" spans="1:5">
      <c r="A752" s="3" t="s">
        <v>1</v>
      </c>
      <c r="B752" s="3" t="s">
        <v>7</v>
      </c>
      <c r="C752" s="3" t="s">
        <v>7</v>
      </c>
      <c r="D752" s="5">
        <v>44834</v>
      </c>
      <c r="E752" s="8">
        <v>3695549</v>
      </c>
    </row>
    <row r="753" spans="1:5">
      <c r="A753" s="3" t="s">
        <v>1</v>
      </c>
      <c r="B753" s="3" t="s">
        <v>7</v>
      </c>
      <c r="C753" s="3" t="s">
        <v>8</v>
      </c>
      <c r="D753" s="5">
        <v>44834</v>
      </c>
      <c r="E753" s="8">
        <v>417581</v>
      </c>
    </row>
    <row r="754" spans="1:5">
      <c r="A754" s="3" t="s">
        <v>1</v>
      </c>
      <c r="B754" s="3" t="s">
        <v>7</v>
      </c>
      <c r="C754" s="3" t="s">
        <v>9</v>
      </c>
      <c r="D754" s="5">
        <v>44834</v>
      </c>
      <c r="E754" s="8">
        <v>211383</v>
      </c>
    </row>
    <row r="755" spans="1:5">
      <c r="A755" s="3" t="s">
        <v>1</v>
      </c>
      <c r="B755" s="3" t="s">
        <v>10</v>
      </c>
      <c r="C755" s="3" t="s">
        <v>10</v>
      </c>
      <c r="D755" s="5">
        <v>44834</v>
      </c>
      <c r="E755" s="8">
        <v>1208684</v>
      </c>
    </row>
    <row r="756" spans="1:5">
      <c r="A756" s="3" t="s">
        <v>1</v>
      </c>
      <c r="B756" s="3" t="s">
        <v>10</v>
      </c>
      <c r="C756" s="3" t="s">
        <v>11</v>
      </c>
      <c r="D756" s="5">
        <v>44834</v>
      </c>
      <c r="E756" s="8">
        <v>1142529</v>
      </c>
    </row>
    <row r="757" spans="1:5">
      <c r="A757" s="3" t="s">
        <v>1</v>
      </c>
      <c r="B757" s="3" t="s">
        <v>10</v>
      </c>
      <c r="C757" s="3" t="s">
        <v>12</v>
      </c>
      <c r="D757" s="5">
        <v>44834</v>
      </c>
      <c r="E757" s="8">
        <v>215949</v>
      </c>
    </row>
    <row r="758" spans="1:5">
      <c r="A758" s="3" t="s">
        <v>1</v>
      </c>
      <c r="B758" s="3" t="s">
        <v>13</v>
      </c>
      <c r="C758" s="3" t="s">
        <v>13</v>
      </c>
      <c r="D758" s="5">
        <v>44834</v>
      </c>
      <c r="E758" s="8">
        <v>1156046</v>
      </c>
    </row>
    <row r="759" spans="1:5">
      <c r="A759" s="3" t="s">
        <v>1</v>
      </c>
      <c r="B759" s="3" t="s">
        <v>13</v>
      </c>
      <c r="C759" s="3" t="s">
        <v>14</v>
      </c>
      <c r="D759" s="5">
        <v>44834</v>
      </c>
      <c r="E759" s="8">
        <v>191368</v>
      </c>
    </row>
    <row r="760" spans="1:5">
      <c r="A760" s="3" t="s">
        <v>1</v>
      </c>
      <c r="B760" s="3" t="s">
        <v>13</v>
      </c>
      <c r="C760" s="3" t="s">
        <v>15</v>
      </c>
      <c r="D760" s="5">
        <v>44834</v>
      </c>
      <c r="E760" s="8"/>
    </row>
    <row r="761" spans="1:5">
      <c r="A761" s="3" t="s">
        <v>1</v>
      </c>
      <c r="B761" s="3" t="s">
        <v>16</v>
      </c>
      <c r="C761" s="3" t="s">
        <v>16</v>
      </c>
      <c r="D761" s="5">
        <v>44834</v>
      </c>
      <c r="E761" s="8">
        <v>344400</v>
      </c>
    </row>
    <row r="762" spans="1:5">
      <c r="A762" s="3" t="s">
        <v>1</v>
      </c>
      <c r="B762" s="3" t="s">
        <v>86</v>
      </c>
      <c r="C762" s="3" t="s">
        <v>86</v>
      </c>
      <c r="D762" s="5">
        <v>44834</v>
      </c>
      <c r="E762" s="8">
        <v>354647</v>
      </c>
    </row>
    <row r="763" spans="1:5">
      <c r="A763" s="3" t="s">
        <v>1</v>
      </c>
      <c r="B763" s="3" t="s">
        <v>18</v>
      </c>
      <c r="C763" s="3" t="s">
        <v>19</v>
      </c>
      <c r="D763" s="5">
        <v>44834</v>
      </c>
      <c r="E763" s="8">
        <v>330705</v>
      </c>
    </row>
    <row r="764" spans="1:5">
      <c r="A764" s="3" t="s">
        <v>20</v>
      </c>
      <c r="B764" s="3" t="s">
        <v>2</v>
      </c>
      <c r="C764" s="3" t="s">
        <v>2</v>
      </c>
      <c r="D764" s="5">
        <v>44834</v>
      </c>
      <c r="E764" s="8">
        <v>2285112</v>
      </c>
    </row>
    <row r="765" spans="1:5">
      <c r="A765" s="3" t="s">
        <v>20</v>
      </c>
      <c r="B765" s="3" t="s">
        <v>2</v>
      </c>
      <c r="C765" s="3" t="s">
        <v>21</v>
      </c>
      <c r="D765" s="5">
        <v>44834</v>
      </c>
      <c r="E765" s="8">
        <v>349804</v>
      </c>
    </row>
    <row r="766" spans="1:5">
      <c r="A766" s="3" t="s">
        <v>20</v>
      </c>
      <c r="B766" s="3" t="s">
        <v>2</v>
      </c>
      <c r="C766" s="3" t="s">
        <v>22</v>
      </c>
      <c r="D766" s="5">
        <v>44834</v>
      </c>
      <c r="E766" s="8">
        <v>305074</v>
      </c>
    </row>
    <row r="767" spans="1:5">
      <c r="A767" s="3" t="s">
        <v>20</v>
      </c>
      <c r="B767" s="3" t="s">
        <v>2</v>
      </c>
      <c r="C767" s="3" t="s">
        <v>23</v>
      </c>
      <c r="D767" s="5">
        <v>44834</v>
      </c>
      <c r="E767" s="8">
        <v>661474</v>
      </c>
    </row>
    <row r="768" spans="1:5">
      <c r="A768" s="3" t="s">
        <v>20</v>
      </c>
      <c r="B768" s="3" t="s">
        <v>2</v>
      </c>
      <c r="C768" s="3" t="s">
        <v>24</v>
      </c>
      <c r="D768" s="5">
        <v>44834</v>
      </c>
      <c r="E768" s="8">
        <v>20866</v>
      </c>
    </row>
    <row r="769" spans="1:5">
      <c r="A769" s="3" t="s">
        <v>20</v>
      </c>
      <c r="B769" s="3" t="s">
        <v>3</v>
      </c>
      <c r="C769" s="3" t="s">
        <v>3</v>
      </c>
      <c r="D769" s="5">
        <v>44834</v>
      </c>
      <c r="E769" s="8">
        <v>587006</v>
      </c>
    </row>
    <row r="770" spans="1:5">
      <c r="A770" s="3" t="s">
        <v>20</v>
      </c>
      <c r="B770" s="3" t="s">
        <v>3</v>
      </c>
      <c r="C770" s="3" t="s">
        <v>25</v>
      </c>
      <c r="D770" s="5">
        <v>44834</v>
      </c>
      <c r="E770" s="8">
        <v>31434</v>
      </c>
    </row>
    <row r="771" spans="1:5">
      <c r="A771" s="3" t="s">
        <v>20</v>
      </c>
      <c r="B771" s="3" t="s">
        <v>7</v>
      </c>
      <c r="C771" s="3" t="s">
        <v>7</v>
      </c>
      <c r="D771" s="5">
        <v>44834</v>
      </c>
      <c r="E771" s="8">
        <v>372926</v>
      </c>
    </row>
    <row r="772" spans="1:5">
      <c r="A772" s="3" t="s">
        <v>20</v>
      </c>
      <c r="B772" s="3" t="s">
        <v>7</v>
      </c>
      <c r="C772" s="3" t="s">
        <v>8</v>
      </c>
      <c r="D772" s="5">
        <v>44834</v>
      </c>
      <c r="E772" s="8">
        <v>3380306</v>
      </c>
    </row>
    <row r="773" spans="1:5">
      <c r="A773" s="3" t="s">
        <v>20</v>
      </c>
      <c r="B773" s="3" t="s">
        <v>7</v>
      </c>
      <c r="C773" s="3" t="s">
        <v>26</v>
      </c>
      <c r="D773" s="5">
        <v>44834</v>
      </c>
      <c r="E773" s="8">
        <v>38447</v>
      </c>
    </row>
    <row r="774" spans="1:5">
      <c r="A774" s="3" t="s">
        <v>20</v>
      </c>
      <c r="B774" s="3" t="s">
        <v>10</v>
      </c>
      <c r="C774" s="3" t="s">
        <v>10</v>
      </c>
      <c r="D774" s="5">
        <v>44834</v>
      </c>
      <c r="E774" s="8">
        <v>3840034</v>
      </c>
    </row>
    <row r="775" spans="1:5">
      <c r="A775" s="3" t="s">
        <v>20</v>
      </c>
      <c r="B775" s="3" t="s">
        <v>10</v>
      </c>
      <c r="C775" s="3" t="s">
        <v>27</v>
      </c>
      <c r="D775" s="5">
        <v>44834</v>
      </c>
      <c r="E775" s="8">
        <v>14145</v>
      </c>
    </row>
    <row r="776" spans="1:5">
      <c r="A776" s="3" t="s">
        <v>20</v>
      </c>
      <c r="B776" s="3" t="s">
        <v>10</v>
      </c>
      <c r="C776" s="3" t="s">
        <v>82</v>
      </c>
      <c r="D776" s="5">
        <v>44834</v>
      </c>
      <c r="E776" s="8">
        <v>59614</v>
      </c>
    </row>
    <row r="777" spans="1:5">
      <c r="A777" s="3" t="s">
        <v>20</v>
      </c>
      <c r="B777" s="3" t="s">
        <v>13</v>
      </c>
      <c r="C777" s="3" t="s">
        <v>13</v>
      </c>
      <c r="D777" s="5">
        <v>44834</v>
      </c>
      <c r="E777" s="8">
        <v>1968203</v>
      </c>
    </row>
    <row r="778" spans="1:5">
      <c r="A778" s="3" t="s">
        <v>20</v>
      </c>
      <c r="B778" s="3" t="s">
        <v>13</v>
      </c>
      <c r="C778" s="3" t="s">
        <v>81</v>
      </c>
      <c r="D778" s="5">
        <v>44834</v>
      </c>
      <c r="E778" s="8">
        <v>108180</v>
      </c>
    </row>
    <row r="779" spans="1:5">
      <c r="A779" s="3" t="s">
        <v>20</v>
      </c>
      <c r="B779" s="3" t="s">
        <v>13</v>
      </c>
      <c r="C779" s="3" t="s">
        <v>28</v>
      </c>
      <c r="D779" s="5">
        <v>44834</v>
      </c>
      <c r="E779" s="8"/>
    </row>
    <row r="780" spans="1:5">
      <c r="A780" s="3" t="s">
        <v>20</v>
      </c>
      <c r="B780" s="3" t="s">
        <v>16</v>
      </c>
      <c r="C780" s="3" t="s">
        <v>16</v>
      </c>
      <c r="D780" s="5">
        <v>44834</v>
      </c>
      <c r="E780" s="8">
        <v>246875</v>
      </c>
    </row>
    <row r="781" spans="1:5">
      <c r="A781" s="3" t="s">
        <v>20</v>
      </c>
      <c r="B781" s="3" t="s">
        <v>16</v>
      </c>
      <c r="C781" s="3" t="s">
        <v>29</v>
      </c>
      <c r="D781" s="5">
        <v>44834</v>
      </c>
      <c r="E781" s="8">
        <v>15500</v>
      </c>
    </row>
    <row r="782" spans="1:5">
      <c r="A782" s="3" t="s">
        <v>20</v>
      </c>
      <c r="B782" s="3" t="s">
        <v>16</v>
      </c>
      <c r="C782" s="3" t="s">
        <v>30</v>
      </c>
      <c r="D782" s="5">
        <v>44834</v>
      </c>
      <c r="E782" s="8">
        <v>11635</v>
      </c>
    </row>
    <row r="783" spans="1:5">
      <c r="A783" s="3" t="s">
        <v>20</v>
      </c>
      <c r="B783" s="3" t="s">
        <v>16</v>
      </c>
      <c r="C783" s="3" t="s">
        <v>31</v>
      </c>
      <c r="D783" s="5">
        <v>44834</v>
      </c>
      <c r="E783" s="8">
        <v>7982</v>
      </c>
    </row>
    <row r="784" spans="1:5">
      <c r="A784" s="3" t="s">
        <v>20</v>
      </c>
      <c r="B784" s="3" t="s">
        <v>16</v>
      </c>
      <c r="C784" s="3" t="s">
        <v>32</v>
      </c>
      <c r="D784" s="5">
        <v>44834</v>
      </c>
      <c r="E784" s="8">
        <v>8572</v>
      </c>
    </row>
    <row r="785" spans="1:5">
      <c r="A785" s="3" t="s">
        <v>20</v>
      </c>
      <c r="B785" s="3" t="s">
        <v>16</v>
      </c>
      <c r="C785" s="3" t="s">
        <v>33</v>
      </c>
      <c r="D785" s="5">
        <v>44834</v>
      </c>
      <c r="E785" s="8"/>
    </row>
    <row r="786" spans="1:5">
      <c r="A786" s="3" t="s">
        <v>20</v>
      </c>
      <c r="B786" s="3" t="s">
        <v>86</v>
      </c>
      <c r="C786" s="3" t="s">
        <v>86</v>
      </c>
      <c r="D786" s="5">
        <v>44834</v>
      </c>
      <c r="E786" s="8">
        <v>87644</v>
      </c>
    </row>
    <row r="787" spans="1:5">
      <c r="A787" s="3" t="s">
        <v>20</v>
      </c>
      <c r="B787" s="3" t="s">
        <v>86</v>
      </c>
      <c r="C787" s="3" t="s">
        <v>92</v>
      </c>
      <c r="D787" s="5">
        <v>44834</v>
      </c>
      <c r="E787" s="8">
        <v>6986</v>
      </c>
    </row>
    <row r="788" spans="1:5">
      <c r="A788" s="3" t="s">
        <v>20</v>
      </c>
      <c r="B788" s="3" t="s">
        <v>86</v>
      </c>
      <c r="C788" s="3" t="s">
        <v>93</v>
      </c>
      <c r="D788" s="5">
        <v>44834</v>
      </c>
      <c r="E788" s="8">
        <v>9248</v>
      </c>
    </row>
    <row r="789" spans="1:5">
      <c r="A789" s="3" t="s">
        <v>20</v>
      </c>
      <c r="B789" s="3" t="s">
        <v>86</v>
      </c>
      <c r="C789" s="3" t="s">
        <v>94</v>
      </c>
      <c r="D789" s="5">
        <v>44834</v>
      </c>
      <c r="E789" s="8">
        <v>8942</v>
      </c>
    </row>
    <row r="790" spans="1:5">
      <c r="A790" s="3" t="s">
        <v>20</v>
      </c>
      <c r="B790" s="3" t="s">
        <v>86</v>
      </c>
      <c r="C790" s="3" t="s">
        <v>95</v>
      </c>
      <c r="D790" s="5">
        <v>44834</v>
      </c>
      <c r="E790" s="8">
        <v>10427</v>
      </c>
    </row>
    <row r="791" spans="1:5">
      <c r="A791" s="3" t="s">
        <v>20</v>
      </c>
      <c r="B791" s="3" t="s">
        <v>18</v>
      </c>
      <c r="C791" s="3" t="s">
        <v>19</v>
      </c>
      <c r="D791" s="5">
        <v>44834</v>
      </c>
      <c r="E791" s="8">
        <v>386709</v>
      </c>
    </row>
    <row r="792" spans="1:5">
      <c r="A792" s="3" t="s">
        <v>20</v>
      </c>
      <c r="B792" s="3" t="s">
        <v>18</v>
      </c>
      <c r="C792" s="3" t="s">
        <v>38</v>
      </c>
      <c r="D792" s="5">
        <v>44834</v>
      </c>
      <c r="E792" s="8">
        <v>5522</v>
      </c>
    </row>
    <row r="793" spans="1:5">
      <c r="A793" s="3" t="s">
        <v>20</v>
      </c>
      <c r="B793" s="3" t="s">
        <v>18</v>
      </c>
      <c r="C793" s="3" t="s">
        <v>39</v>
      </c>
      <c r="D793" s="5">
        <v>44834</v>
      </c>
      <c r="E793" s="8">
        <v>386709</v>
      </c>
    </row>
    <row r="794" spans="1:5">
      <c r="A794" s="3" t="s">
        <v>20</v>
      </c>
      <c r="B794" s="3" t="s">
        <v>18</v>
      </c>
      <c r="C794" s="3" t="s">
        <v>40</v>
      </c>
      <c r="D794" s="5">
        <v>44834</v>
      </c>
      <c r="E794" s="8">
        <v>4681</v>
      </c>
    </row>
    <row r="795" spans="1:5">
      <c r="A795" s="3" t="s">
        <v>20</v>
      </c>
      <c r="B795" s="3" t="s">
        <v>18</v>
      </c>
      <c r="C795" s="3" t="s">
        <v>73</v>
      </c>
      <c r="D795" s="5">
        <v>44834</v>
      </c>
      <c r="E795" s="8">
        <v>945</v>
      </c>
    </row>
    <row r="796" spans="1:5">
      <c r="A796" s="3" t="s">
        <v>20</v>
      </c>
      <c r="B796" s="3" t="s">
        <v>18</v>
      </c>
      <c r="C796" s="3" t="s">
        <v>41</v>
      </c>
      <c r="D796" s="5">
        <v>44834</v>
      </c>
      <c r="E796" s="8">
        <v>12810</v>
      </c>
    </row>
    <row r="797" spans="1:5">
      <c r="A797" s="3" t="s">
        <v>42</v>
      </c>
      <c r="B797" s="3" t="s">
        <v>2</v>
      </c>
      <c r="C797" s="3" t="s">
        <v>2</v>
      </c>
      <c r="D797" s="5">
        <v>44834</v>
      </c>
      <c r="E797" s="8">
        <v>887160</v>
      </c>
    </row>
    <row r="798" spans="1:5">
      <c r="A798" s="3" t="s">
        <v>42</v>
      </c>
      <c r="B798" s="3" t="s">
        <v>2</v>
      </c>
      <c r="C798" s="3" t="s">
        <v>43</v>
      </c>
      <c r="D798" s="5">
        <v>44834</v>
      </c>
      <c r="E798" s="8">
        <v>564619</v>
      </c>
    </row>
    <row r="799" spans="1:5">
      <c r="A799" s="3" t="s">
        <v>42</v>
      </c>
      <c r="B799" s="3" t="s">
        <v>2</v>
      </c>
      <c r="C799" s="3" t="s">
        <v>83</v>
      </c>
      <c r="D799" s="5">
        <v>44834</v>
      </c>
      <c r="E799" s="8">
        <v>133001</v>
      </c>
    </row>
    <row r="800" spans="1:5">
      <c r="A800" s="3" t="s">
        <v>42</v>
      </c>
      <c r="B800" s="3" t="s">
        <v>2</v>
      </c>
      <c r="C800" s="3" t="s">
        <v>44</v>
      </c>
      <c r="D800" s="5">
        <v>44834</v>
      </c>
      <c r="E800" s="8">
        <v>137005</v>
      </c>
    </row>
    <row r="801" spans="1:5">
      <c r="A801" s="3" t="s">
        <v>42</v>
      </c>
      <c r="B801" s="3" t="s">
        <v>2</v>
      </c>
      <c r="C801" s="3" t="s">
        <v>45</v>
      </c>
      <c r="D801" s="5">
        <v>44834</v>
      </c>
      <c r="E801" s="8">
        <v>156838</v>
      </c>
    </row>
    <row r="802" spans="1:5">
      <c r="A802" s="3" t="s">
        <v>42</v>
      </c>
      <c r="B802" s="3" t="s">
        <v>2</v>
      </c>
      <c r="C802" s="3" t="s">
        <v>80</v>
      </c>
      <c r="D802" s="5">
        <v>44834</v>
      </c>
      <c r="E802" s="8">
        <v>17924</v>
      </c>
    </row>
    <row r="803" spans="1:5">
      <c r="A803" s="3" t="s">
        <v>42</v>
      </c>
      <c r="B803" s="3" t="s">
        <v>3</v>
      </c>
      <c r="C803" s="3" t="s">
        <v>3</v>
      </c>
      <c r="D803" s="5">
        <v>44834</v>
      </c>
      <c r="E803" s="8">
        <v>207777</v>
      </c>
    </row>
    <row r="804" spans="1:5">
      <c r="A804" s="3" t="s">
        <v>42</v>
      </c>
      <c r="B804" s="3" t="s">
        <v>3</v>
      </c>
      <c r="C804" s="3" t="s">
        <v>46</v>
      </c>
      <c r="D804" s="5">
        <v>44834</v>
      </c>
      <c r="E804" s="8">
        <v>117960</v>
      </c>
    </row>
    <row r="805" spans="1:5">
      <c r="A805" s="3" t="s">
        <v>42</v>
      </c>
      <c r="B805" s="3" t="s">
        <v>3</v>
      </c>
      <c r="C805" s="3" t="s">
        <v>4</v>
      </c>
      <c r="D805" s="5">
        <v>44834</v>
      </c>
      <c r="E805" s="8">
        <v>47597</v>
      </c>
    </row>
    <row r="806" spans="1:5">
      <c r="A806" s="3" t="s">
        <v>42</v>
      </c>
      <c r="B806" s="3" t="s">
        <v>3</v>
      </c>
      <c r="C806" s="3" t="s">
        <v>5</v>
      </c>
      <c r="D806" s="5">
        <v>44834</v>
      </c>
      <c r="E806" s="48">
        <v>3421</v>
      </c>
    </row>
    <row r="807" spans="1:5">
      <c r="A807" s="3" t="s">
        <v>42</v>
      </c>
      <c r="B807" s="3" t="s">
        <v>3</v>
      </c>
      <c r="C807" s="3" t="s">
        <v>47</v>
      </c>
      <c r="D807" s="5">
        <v>44834</v>
      </c>
      <c r="E807" s="48">
        <v>7157</v>
      </c>
    </row>
    <row r="808" spans="1:5">
      <c r="A808" s="3" t="s">
        <v>42</v>
      </c>
      <c r="B808" s="3" t="s">
        <v>3</v>
      </c>
      <c r="C808" s="3" t="s">
        <v>48</v>
      </c>
      <c r="D808" s="5">
        <v>44834</v>
      </c>
      <c r="E808" s="8">
        <v>6948</v>
      </c>
    </row>
    <row r="809" spans="1:5">
      <c r="A809" s="3" t="s">
        <v>42</v>
      </c>
      <c r="B809" s="3" t="s">
        <v>3</v>
      </c>
      <c r="C809" s="3" t="s">
        <v>49</v>
      </c>
      <c r="D809" s="5">
        <v>44834</v>
      </c>
      <c r="E809" s="8">
        <v>39231</v>
      </c>
    </row>
    <row r="810" spans="1:5">
      <c r="A810" s="3" t="s">
        <v>42</v>
      </c>
      <c r="B810" s="3" t="s">
        <v>7</v>
      </c>
      <c r="C810" s="3" t="s">
        <v>7</v>
      </c>
      <c r="D810" s="5">
        <v>44834</v>
      </c>
      <c r="E810" s="8">
        <v>399912</v>
      </c>
    </row>
    <row r="811" spans="1:5">
      <c r="A811" s="3" t="s">
        <v>42</v>
      </c>
      <c r="B811" s="3" t="s">
        <v>7</v>
      </c>
      <c r="C811" s="3" t="s">
        <v>50</v>
      </c>
      <c r="D811" s="5">
        <v>44834</v>
      </c>
      <c r="E811" s="8">
        <v>183185</v>
      </c>
    </row>
    <row r="812" spans="1:5">
      <c r="A812" s="3" t="s">
        <v>42</v>
      </c>
      <c r="B812" s="3" t="s">
        <v>7</v>
      </c>
      <c r="C812" s="3" t="s">
        <v>51</v>
      </c>
      <c r="D812" s="5">
        <v>44834</v>
      </c>
      <c r="E812" s="8">
        <v>146281</v>
      </c>
    </row>
    <row r="813" spans="1:5">
      <c r="A813" s="3" t="s">
        <v>42</v>
      </c>
      <c r="B813" s="3" t="s">
        <v>10</v>
      </c>
      <c r="C813" s="3" t="s">
        <v>10</v>
      </c>
      <c r="D813" s="5">
        <v>44834</v>
      </c>
      <c r="E813" s="8">
        <v>915808</v>
      </c>
    </row>
    <row r="814" spans="1:5">
      <c r="A814" s="3" t="s">
        <v>42</v>
      </c>
      <c r="B814" s="3" t="s">
        <v>10</v>
      </c>
      <c r="C814" s="3" t="s">
        <v>52</v>
      </c>
      <c r="D814" s="5">
        <v>44834</v>
      </c>
      <c r="E814" s="8">
        <v>39490</v>
      </c>
    </row>
    <row r="815" spans="1:5">
      <c r="A815" s="3" t="s">
        <v>42</v>
      </c>
      <c r="B815" s="3" t="s">
        <v>10</v>
      </c>
      <c r="C815" s="3" t="s">
        <v>53</v>
      </c>
      <c r="D815" s="5">
        <v>44834</v>
      </c>
      <c r="E815" s="8">
        <v>419629</v>
      </c>
    </row>
    <row r="816" spans="1:5">
      <c r="A816" s="3" t="s">
        <v>42</v>
      </c>
      <c r="B816" s="3" t="s">
        <v>13</v>
      </c>
      <c r="C816" s="3" t="s">
        <v>13</v>
      </c>
      <c r="D816" s="5">
        <v>44834</v>
      </c>
      <c r="E816" s="8">
        <v>344245</v>
      </c>
    </row>
    <row r="817" spans="1:5">
      <c r="A817" s="3" t="s">
        <v>42</v>
      </c>
      <c r="B817" s="3" t="s">
        <v>13</v>
      </c>
      <c r="C817" s="3" t="s">
        <v>54</v>
      </c>
      <c r="D817" s="5">
        <v>44834</v>
      </c>
      <c r="E817" s="8">
        <v>69828</v>
      </c>
    </row>
    <row r="818" spans="1:5">
      <c r="A818" s="3" t="s">
        <v>42</v>
      </c>
      <c r="B818" s="3" t="s">
        <v>13</v>
      </c>
      <c r="C818" s="3" t="s">
        <v>55</v>
      </c>
      <c r="D818" s="5">
        <v>44834</v>
      </c>
      <c r="E818" s="8"/>
    </row>
    <row r="819" spans="1:5">
      <c r="A819" s="3" t="s">
        <v>42</v>
      </c>
      <c r="B819" s="3" t="s">
        <v>13</v>
      </c>
      <c r="C819" s="3" t="s">
        <v>56</v>
      </c>
      <c r="D819" s="5">
        <v>44834</v>
      </c>
      <c r="E819" s="8">
        <v>22027</v>
      </c>
    </row>
    <row r="820" spans="1:5">
      <c r="A820" s="3" t="s">
        <v>42</v>
      </c>
      <c r="B820" s="3" t="s">
        <v>13</v>
      </c>
      <c r="C820" s="3" t="s">
        <v>57</v>
      </c>
      <c r="D820" s="5">
        <v>44834</v>
      </c>
      <c r="E820" s="8"/>
    </row>
    <row r="821" spans="1:5">
      <c r="A821" s="3" t="s">
        <v>42</v>
      </c>
      <c r="B821" s="3" t="s">
        <v>16</v>
      </c>
      <c r="C821" s="3" t="s">
        <v>58</v>
      </c>
      <c r="D821" s="5">
        <v>44834</v>
      </c>
      <c r="E821" s="8">
        <v>39085</v>
      </c>
    </row>
    <row r="822" spans="1:5">
      <c r="A822" s="3" t="s">
        <v>42</v>
      </c>
      <c r="B822" s="3" t="s">
        <v>16</v>
      </c>
      <c r="C822" s="3" t="s">
        <v>59</v>
      </c>
      <c r="D822" s="5">
        <v>44834</v>
      </c>
      <c r="E822" s="8">
        <v>45837</v>
      </c>
    </row>
    <row r="823" spans="1:5">
      <c r="A823" s="3" t="s">
        <v>42</v>
      </c>
      <c r="B823" s="3" t="s">
        <v>16</v>
      </c>
      <c r="C823" s="3" t="s">
        <v>60</v>
      </c>
      <c r="D823" s="5">
        <v>44834</v>
      </c>
      <c r="E823" s="8">
        <v>26535</v>
      </c>
    </row>
    <row r="824" spans="1:5">
      <c r="A824" s="3" t="s">
        <v>42</v>
      </c>
      <c r="B824" s="3" t="s">
        <v>86</v>
      </c>
      <c r="C824" s="3" t="s">
        <v>89</v>
      </c>
      <c r="D824" s="5">
        <v>44834</v>
      </c>
      <c r="E824" s="8">
        <v>13274</v>
      </c>
    </row>
    <row r="825" spans="1:5">
      <c r="A825" s="3" t="s">
        <v>42</v>
      </c>
      <c r="B825" s="3" t="s">
        <v>18</v>
      </c>
      <c r="C825" s="3" t="s">
        <v>18</v>
      </c>
      <c r="D825" s="5">
        <v>44834</v>
      </c>
      <c r="E825" s="8">
        <v>45075</v>
      </c>
    </row>
    <row r="826" spans="1:5">
      <c r="A826" s="3" t="s">
        <v>42</v>
      </c>
      <c r="B826" s="3" t="s">
        <v>18</v>
      </c>
      <c r="C826" s="3" t="s">
        <v>62</v>
      </c>
      <c r="D826" s="5">
        <v>44834</v>
      </c>
      <c r="E826" s="8">
        <v>13070</v>
      </c>
    </row>
    <row r="827" spans="1:5">
      <c r="A827" s="3" t="s">
        <v>42</v>
      </c>
      <c r="B827" s="3" t="s">
        <v>18</v>
      </c>
      <c r="C827" s="3" t="s">
        <v>63</v>
      </c>
      <c r="D827" s="5">
        <v>44834</v>
      </c>
      <c r="E827" s="8">
        <v>1004</v>
      </c>
    </row>
    <row r="828" spans="1:5">
      <c r="A828" s="3" t="s">
        <v>79</v>
      </c>
      <c r="B828" s="3" t="s">
        <v>2</v>
      </c>
      <c r="C828" s="3" t="s">
        <v>64</v>
      </c>
      <c r="D828" s="5">
        <v>44834</v>
      </c>
      <c r="E828" s="8">
        <v>226873</v>
      </c>
    </row>
    <row r="829" spans="1:5">
      <c r="A829" s="3" t="s">
        <v>79</v>
      </c>
      <c r="B829" s="3" t="s">
        <v>3</v>
      </c>
      <c r="C829" s="3" t="s">
        <v>65</v>
      </c>
      <c r="D829" s="5">
        <v>44834</v>
      </c>
      <c r="E829" s="8">
        <v>122938</v>
      </c>
    </row>
    <row r="830" spans="1:5">
      <c r="A830" s="3" t="s">
        <v>79</v>
      </c>
      <c r="B830" s="3" t="s">
        <v>3</v>
      </c>
      <c r="C830" s="3" t="s">
        <v>66</v>
      </c>
      <c r="D830" s="5">
        <v>44834</v>
      </c>
      <c r="E830" s="8">
        <v>9046</v>
      </c>
    </row>
    <row r="831" spans="1:5">
      <c r="A831" s="3" t="s">
        <v>79</v>
      </c>
      <c r="B831" s="3" t="s">
        <v>3</v>
      </c>
      <c r="C831" s="3" t="s">
        <v>67</v>
      </c>
      <c r="D831" s="5">
        <v>44834</v>
      </c>
      <c r="E831" s="8">
        <v>9781</v>
      </c>
    </row>
    <row r="832" spans="1:5">
      <c r="A832" s="3" t="s">
        <v>79</v>
      </c>
      <c r="B832" s="3" t="s">
        <v>3</v>
      </c>
      <c r="C832" s="3" t="s">
        <v>68</v>
      </c>
      <c r="D832" s="5">
        <v>44834</v>
      </c>
      <c r="E832" s="8">
        <v>26668</v>
      </c>
    </row>
    <row r="833" spans="1:5">
      <c r="A833" s="3" t="s">
        <v>79</v>
      </c>
      <c r="B833" s="3" t="s">
        <v>7</v>
      </c>
      <c r="C833" s="3" t="s">
        <v>69</v>
      </c>
      <c r="D833" s="5">
        <v>44834</v>
      </c>
      <c r="E833" s="8">
        <v>246657</v>
      </c>
    </row>
    <row r="834" spans="1:5">
      <c r="A834" s="3" t="s">
        <v>79</v>
      </c>
      <c r="B834" s="3" t="s">
        <v>10</v>
      </c>
      <c r="C834" s="3" t="s">
        <v>53</v>
      </c>
      <c r="D834" s="5">
        <v>44834</v>
      </c>
      <c r="E834" s="8">
        <v>96804</v>
      </c>
    </row>
    <row r="835" spans="1:5">
      <c r="A835" s="3" t="s">
        <v>79</v>
      </c>
      <c r="B835" s="3" t="s">
        <v>10</v>
      </c>
      <c r="C835" s="3" t="s">
        <v>10</v>
      </c>
      <c r="D835" s="5">
        <v>44834</v>
      </c>
      <c r="E835" s="8">
        <v>105421</v>
      </c>
    </row>
    <row r="836" spans="1:5">
      <c r="A836" s="3" t="s">
        <v>79</v>
      </c>
      <c r="B836" s="3" t="s">
        <v>13</v>
      </c>
      <c r="C836" s="3" t="s">
        <v>70</v>
      </c>
      <c r="D836" s="5">
        <v>44834</v>
      </c>
      <c r="E836" s="8">
        <v>120698</v>
      </c>
    </row>
    <row r="837" spans="1:5">
      <c r="A837" s="3" t="s">
        <v>79</v>
      </c>
      <c r="B837" s="3" t="s">
        <v>16</v>
      </c>
      <c r="C837" s="3" t="s">
        <v>16</v>
      </c>
      <c r="D837" s="5">
        <v>44834</v>
      </c>
      <c r="E837" s="8">
        <v>26938</v>
      </c>
    </row>
    <row r="838" spans="1:5">
      <c r="A838" s="3" t="s">
        <v>79</v>
      </c>
      <c r="B838" s="3" t="s">
        <v>86</v>
      </c>
      <c r="C838" s="3" t="s">
        <v>86</v>
      </c>
      <c r="D838" s="5">
        <v>44834</v>
      </c>
      <c r="E838" s="8">
        <v>40939</v>
      </c>
    </row>
    <row r="839" spans="1:5">
      <c r="A839" s="3" t="s">
        <v>79</v>
      </c>
      <c r="B839" s="3" t="s">
        <v>18</v>
      </c>
      <c r="C839" s="3" t="s">
        <v>72</v>
      </c>
      <c r="D839" s="5">
        <v>44834</v>
      </c>
      <c r="E839" s="8">
        <v>38748</v>
      </c>
    </row>
    <row r="840" spans="1:5">
      <c r="A840" s="3" t="s">
        <v>1</v>
      </c>
      <c r="B840" s="3" t="s">
        <v>2</v>
      </c>
      <c r="C840" s="3" t="s">
        <v>2</v>
      </c>
      <c r="D840" s="5">
        <v>44862</v>
      </c>
      <c r="E840" s="49">
        <v>2760730</v>
      </c>
    </row>
    <row r="841" spans="1:5">
      <c r="A841" s="3" t="s">
        <v>1</v>
      </c>
      <c r="B841" s="3" t="s">
        <v>3</v>
      </c>
      <c r="C841" s="3" t="s">
        <v>3</v>
      </c>
      <c r="D841" s="5">
        <v>44862</v>
      </c>
      <c r="E841" s="49">
        <v>3934914</v>
      </c>
    </row>
    <row r="842" spans="1:5">
      <c r="A842" s="3" t="s">
        <v>1</v>
      </c>
      <c r="B842" s="3" t="s">
        <v>3</v>
      </c>
      <c r="C842" s="3" t="s">
        <v>4</v>
      </c>
      <c r="D842" s="5">
        <v>44862</v>
      </c>
      <c r="E842" s="49">
        <v>96939</v>
      </c>
    </row>
    <row r="843" spans="1:5">
      <c r="A843" s="3" t="s">
        <v>1</v>
      </c>
      <c r="B843" s="3" t="s">
        <v>3</v>
      </c>
      <c r="C843" s="3" t="s">
        <v>5</v>
      </c>
      <c r="D843" s="5">
        <v>44862</v>
      </c>
      <c r="E843" s="49">
        <v>14493</v>
      </c>
    </row>
    <row r="844" spans="1:5">
      <c r="A844" s="3" t="s">
        <v>1</v>
      </c>
      <c r="B844" s="3" t="s">
        <v>3</v>
      </c>
      <c r="C844" s="3" t="s">
        <v>6</v>
      </c>
      <c r="D844" s="5">
        <v>44862</v>
      </c>
      <c r="E844" s="49">
        <v>159077</v>
      </c>
    </row>
    <row r="845" spans="1:5">
      <c r="A845" s="3" t="s">
        <v>1</v>
      </c>
      <c r="B845" s="3" t="s">
        <v>7</v>
      </c>
      <c r="C845" s="3" t="s">
        <v>7</v>
      </c>
      <c r="D845" s="5">
        <v>44862</v>
      </c>
      <c r="E845" s="49">
        <v>3693605</v>
      </c>
    </row>
    <row r="846" spans="1:5">
      <c r="A846" s="3" t="s">
        <v>1</v>
      </c>
      <c r="B846" s="3" t="s">
        <v>7</v>
      </c>
      <c r="C846" s="3" t="s">
        <v>8</v>
      </c>
      <c r="D846" s="5">
        <v>44862</v>
      </c>
      <c r="E846" s="49">
        <v>419210</v>
      </c>
    </row>
    <row r="847" spans="1:5">
      <c r="A847" s="3" t="s">
        <v>1</v>
      </c>
      <c r="B847" s="3" t="s">
        <v>7</v>
      </c>
      <c r="C847" s="3" t="s">
        <v>9</v>
      </c>
      <c r="D847" s="5">
        <v>44862</v>
      </c>
      <c r="E847" s="49">
        <v>211153</v>
      </c>
    </row>
    <row r="848" spans="1:5">
      <c r="A848" s="3" t="s">
        <v>1</v>
      </c>
      <c r="B848" s="3" t="s">
        <v>10</v>
      </c>
      <c r="C848" s="3" t="s">
        <v>10</v>
      </c>
      <c r="D848" s="5">
        <v>44862</v>
      </c>
      <c r="E848" s="49">
        <v>1206979</v>
      </c>
    </row>
    <row r="849" spans="1:5">
      <c r="A849" s="3" t="s">
        <v>1</v>
      </c>
      <c r="B849" s="3" t="s">
        <v>10</v>
      </c>
      <c r="C849" s="3" t="s">
        <v>11</v>
      </c>
      <c r="D849" s="5">
        <v>44862</v>
      </c>
      <c r="E849" s="49">
        <v>1139664</v>
      </c>
    </row>
    <row r="850" spans="1:5">
      <c r="A850" s="3" t="s">
        <v>1</v>
      </c>
      <c r="B850" s="3" t="s">
        <v>10</v>
      </c>
      <c r="C850" s="3" t="s">
        <v>12</v>
      </c>
      <c r="D850" s="5">
        <v>44862</v>
      </c>
      <c r="E850" s="49">
        <v>215900</v>
      </c>
    </row>
    <row r="851" spans="1:5">
      <c r="A851" s="3" t="s">
        <v>1</v>
      </c>
      <c r="B851" s="3" t="s">
        <v>13</v>
      </c>
      <c r="C851" s="3" t="s">
        <v>13</v>
      </c>
      <c r="D851" s="5">
        <v>44862</v>
      </c>
      <c r="E851" s="49">
        <v>1155099</v>
      </c>
    </row>
    <row r="852" spans="1:5">
      <c r="A852" s="3" t="s">
        <v>1</v>
      </c>
      <c r="B852" s="3" t="s">
        <v>13</v>
      </c>
      <c r="C852" s="3" t="s">
        <v>14</v>
      </c>
      <c r="D852" s="5">
        <v>44862</v>
      </c>
      <c r="E852" s="49">
        <v>190798</v>
      </c>
    </row>
    <row r="853" spans="1:5">
      <c r="A853" s="3" t="s">
        <v>1</v>
      </c>
      <c r="B853" s="3" t="s">
        <v>13</v>
      </c>
      <c r="C853" s="3" t="s">
        <v>15</v>
      </c>
      <c r="D853" s="5">
        <v>44862</v>
      </c>
      <c r="E853" s="49" t="s">
        <v>75</v>
      </c>
    </row>
    <row r="854" spans="1:5">
      <c r="A854" s="3" t="s">
        <v>1</v>
      </c>
      <c r="B854" s="3" t="s">
        <v>16</v>
      </c>
      <c r="C854" s="3" t="s">
        <v>16</v>
      </c>
      <c r="D854" s="5">
        <v>44862</v>
      </c>
      <c r="E854" s="49">
        <v>344587</v>
      </c>
    </row>
    <row r="855" spans="1:5">
      <c r="A855" s="3" t="s">
        <v>1</v>
      </c>
      <c r="B855" s="3" t="s">
        <v>86</v>
      </c>
      <c r="C855" s="3" t="s">
        <v>86</v>
      </c>
      <c r="D855" s="5">
        <v>44862</v>
      </c>
      <c r="E855" s="49">
        <v>354406</v>
      </c>
    </row>
    <row r="856" spans="1:5">
      <c r="A856" s="3" t="s">
        <v>1</v>
      </c>
      <c r="B856" s="3" t="s">
        <v>18</v>
      </c>
      <c r="C856" s="3" t="s">
        <v>19</v>
      </c>
      <c r="D856" s="5">
        <v>44862</v>
      </c>
      <c r="E856" s="49">
        <v>330632</v>
      </c>
    </row>
    <row r="857" spans="1:5">
      <c r="A857" s="3" t="s">
        <v>20</v>
      </c>
      <c r="B857" s="3" t="s">
        <v>2</v>
      </c>
      <c r="C857" s="3" t="s">
        <v>2</v>
      </c>
      <c r="D857" s="5">
        <v>44862</v>
      </c>
      <c r="E857" s="49">
        <v>2317880</v>
      </c>
    </row>
    <row r="858" spans="1:5">
      <c r="A858" s="3" t="s">
        <v>20</v>
      </c>
      <c r="B858" s="3" t="s">
        <v>2</v>
      </c>
      <c r="C858" s="3" t="s">
        <v>21</v>
      </c>
      <c r="D858" s="5">
        <v>44862</v>
      </c>
      <c r="E858" s="49">
        <v>351596</v>
      </c>
    </row>
    <row r="859" spans="1:5">
      <c r="A859" s="3" t="s">
        <v>20</v>
      </c>
      <c r="B859" s="3" t="s">
        <v>2</v>
      </c>
      <c r="C859" s="3" t="s">
        <v>22</v>
      </c>
      <c r="D859" s="5">
        <v>44862</v>
      </c>
      <c r="E859" s="49">
        <v>307216</v>
      </c>
    </row>
    <row r="860" spans="1:5">
      <c r="A860" s="3" t="s">
        <v>20</v>
      </c>
      <c r="B860" s="3" t="s">
        <v>2</v>
      </c>
      <c r="C860" s="3" t="s">
        <v>23</v>
      </c>
      <c r="D860" s="5">
        <v>44862</v>
      </c>
      <c r="E860" s="49">
        <v>666196</v>
      </c>
    </row>
    <row r="861" spans="1:5">
      <c r="A861" s="3" t="s">
        <v>20</v>
      </c>
      <c r="B861" s="3" t="s">
        <v>2</v>
      </c>
      <c r="C861" s="3" t="s">
        <v>24</v>
      </c>
      <c r="D861" s="5">
        <v>44862</v>
      </c>
      <c r="E861" s="49">
        <v>21072</v>
      </c>
    </row>
    <row r="862" spans="1:5">
      <c r="A862" s="3" t="s">
        <v>20</v>
      </c>
      <c r="B862" s="3" t="s">
        <v>3</v>
      </c>
      <c r="C862" s="3" t="s">
        <v>3</v>
      </c>
      <c r="D862" s="5">
        <v>44862</v>
      </c>
      <c r="E862" s="49">
        <v>594832</v>
      </c>
    </row>
    <row r="863" spans="1:5">
      <c r="A863" s="3" t="s">
        <v>20</v>
      </c>
      <c r="B863" s="3" t="s">
        <v>3</v>
      </c>
      <c r="C863" s="3" t="s">
        <v>25</v>
      </c>
      <c r="D863" s="5">
        <v>44862</v>
      </c>
      <c r="E863" s="49">
        <v>31719</v>
      </c>
    </row>
    <row r="864" spans="1:5">
      <c r="A864" s="3" t="s">
        <v>20</v>
      </c>
      <c r="B864" s="3" t="s">
        <v>7</v>
      </c>
      <c r="C864" s="3" t="s">
        <v>7</v>
      </c>
      <c r="D864" s="5">
        <v>44862</v>
      </c>
      <c r="E864" s="49">
        <v>377396</v>
      </c>
    </row>
    <row r="865" spans="1:5">
      <c r="A865" s="3" t="s">
        <v>20</v>
      </c>
      <c r="B865" s="3" t="s">
        <v>7</v>
      </c>
      <c r="C865" s="3" t="s">
        <v>8</v>
      </c>
      <c r="D865" s="5">
        <v>44862</v>
      </c>
      <c r="E865" s="49">
        <v>3455705</v>
      </c>
    </row>
    <row r="866" spans="1:5">
      <c r="A866" s="3" t="s">
        <v>20</v>
      </c>
      <c r="B866" s="3" t="s">
        <v>7</v>
      </c>
      <c r="C866" s="3" t="s">
        <v>26</v>
      </c>
      <c r="D866" s="5">
        <v>44862</v>
      </c>
      <c r="E866" s="49">
        <v>38754</v>
      </c>
    </row>
    <row r="867" spans="1:5">
      <c r="A867" s="3" t="s">
        <v>20</v>
      </c>
      <c r="B867" s="3" t="s">
        <v>10</v>
      </c>
      <c r="C867" s="3" t="s">
        <v>10</v>
      </c>
      <c r="D867" s="5">
        <v>44862</v>
      </c>
      <c r="E867" s="49">
        <v>3873456</v>
      </c>
    </row>
    <row r="868" spans="1:5">
      <c r="A868" s="3" t="s">
        <v>20</v>
      </c>
      <c r="B868" s="3" t="s">
        <v>10</v>
      </c>
      <c r="C868" s="3" t="s">
        <v>27</v>
      </c>
      <c r="D868" s="5">
        <v>44862</v>
      </c>
      <c r="E868" s="49">
        <v>14265</v>
      </c>
    </row>
    <row r="869" spans="1:5">
      <c r="A869" s="3" t="s">
        <v>20</v>
      </c>
      <c r="B869" s="3" t="s">
        <v>10</v>
      </c>
      <c r="C869" s="3" t="s">
        <v>82</v>
      </c>
      <c r="D869" s="5">
        <v>44862</v>
      </c>
      <c r="E869" s="49">
        <v>61422</v>
      </c>
    </row>
    <row r="870" spans="1:5">
      <c r="A870" s="3" t="s">
        <v>20</v>
      </c>
      <c r="B870" s="3" t="s">
        <v>13</v>
      </c>
      <c r="C870" s="3" t="s">
        <v>13</v>
      </c>
      <c r="D870" s="5">
        <v>44862</v>
      </c>
      <c r="E870" s="49">
        <v>1999645</v>
      </c>
    </row>
    <row r="871" spans="1:5">
      <c r="A871" s="3" t="s">
        <v>20</v>
      </c>
      <c r="B871" s="3" t="s">
        <v>13</v>
      </c>
      <c r="C871" s="3" t="s">
        <v>81</v>
      </c>
      <c r="D871" s="5">
        <v>44862</v>
      </c>
      <c r="E871" s="49">
        <v>110090</v>
      </c>
    </row>
    <row r="872" spans="1:5">
      <c r="A872" s="3" t="s">
        <v>20</v>
      </c>
      <c r="B872" s="3" t="s">
        <v>13</v>
      </c>
      <c r="C872" s="3" t="s">
        <v>28</v>
      </c>
      <c r="D872" s="5">
        <v>44862</v>
      </c>
      <c r="E872" s="49" t="s">
        <v>75</v>
      </c>
    </row>
    <row r="873" spans="1:5">
      <c r="A873" s="3" t="s">
        <v>20</v>
      </c>
      <c r="B873" s="3" t="s">
        <v>16</v>
      </c>
      <c r="C873" s="3" t="s">
        <v>16</v>
      </c>
      <c r="D873" s="5">
        <v>44862</v>
      </c>
      <c r="E873" s="49">
        <v>251546</v>
      </c>
    </row>
    <row r="874" spans="1:5">
      <c r="A874" s="3" t="s">
        <v>20</v>
      </c>
      <c r="B874" s="3" t="s">
        <v>16</v>
      </c>
      <c r="C874" s="3" t="s">
        <v>29</v>
      </c>
      <c r="D874" s="5">
        <v>44862</v>
      </c>
      <c r="E874" s="49">
        <v>16222</v>
      </c>
    </row>
    <row r="875" spans="1:5">
      <c r="A875" s="3" t="s">
        <v>20</v>
      </c>
      <c r="B875" s="3" t="s">
        <v>16</v>
      </c>
      <c r="C875" s="3" t="s">
        <v>30</v>
      </c>
      <c r="D875" s="5">
        <v>44862</v>
      </c>
      <c r="E875" s="49">
        <v>11814</v>
      </c>
    </row>
    <row r="876" spans="1:5">
      <c r="A876" s="3" t="s">
        <v>20</v>
      </c>
      <c r="B876" s="3" t="s">
        <v>16</v>
      </c>
      <c r="C876" s="3" t="s">
        <v>31</v>
      </c>
      <c r="D876" s="5">
        <v>44862</v>
      </c>
      <c r="E876" s="49">
        <v>8249</v>
      </c>
    </row>
    <row r="877" spans="1:5">
      <c r="A877" s="3" t="s">
        <v>20</v>
      </c>
      <c r="B877" s="3" t="s">
        <v>16</v>
      </c>
      <c r="C877" s="3" t="s">
        <v>32</v>
      </c>
      <c r="D877" s="5">
        <v>44862</v>
      </c>
      <c r="E877" s="49">
        <v>8802</v>
      </c>
    </row>
    <row r="878" spans="1:5">
      <c r="A878" s="3" t="s">
        <v>20</v>
      </c>
      <c r="B878" s="3" t="s">
        <v>16</v>
      </c>
      <c r="C878" s="3" t="s">
        <v>33</v>
      </c>
      <c r="D878" s="5">
        <v>44862</v>
      </c>
      <c r="E878" s="49" t="s">
        <v>75</v>
      </c>
    </row>
    <row r="879" spans="1:5">
      <c r="A879" s="3" t="s">
        <v>20</v>
      </c>
      <c r="B879" s="3" t="s">
        <v>86</v>
      </c>
      <c r="C879" s="3" t="s">
        <v>86</v>
      </c>
      <c r="D879" s="5">
        <v>44862</v>
      </c>
      <c r="E879" s="49">
        <v>90184</v>
      </c>
    </row>
    <row r="880" spans="1:5">
      <c r="A880" s="3" t="s">
        <v>20</v>
      </c>
      <c r="B880" s="3" t="s">
        <v>86</v>
      </c>
      <c r="C880" s="3" t="s">
        <v>92</v>
      </c>
      <c r="D880" s="5">
        <v>44862</v>
      </c>
      <c r="E880" s="49">
        <v>7513</v>
      </c>
    </row>
    <row r="881" spans="1:5">
      <c r="A881" s="3" t="s">
        <v>20</v>
      </c>
      <c r="B881" s="3" t="s">
        <v>86</v>
      </c>
      <c r="C881" s="3" t="s">
        <v>93</v>
      </c>
      <c r="D881" s="5">
        <v>44862</v>
      </c>
      <c r="E881" s="49">
        <v>9386</v>
      </c>
    </row>
    <row r="882" spans="1:5">
      <c r="A882" s="3" t="s">
        <v>20</v>
      </c>
      <c r="B882" s="3" t="s">
        <v>86</v>
      </c>
      <c r="C882" s="3" t="s">
        <v>94</v>
      </c>
      <c r="D882" s="5">
        <v>44862</v>
      </c>
      <c r="E882" s="49">
        <v>9191</v>
      </c>
    </row>
    <row r="883" spans="1:5">
      <c r="A883" s="3" t="s">
        <v>20</v>
      </c>
      <c r="B883" s="3" t="s">
        <v>86</v>
      </c>
      <c r="C883" s="3" t="s">
        <v>95</v>
      </c>
      <c r="D883" s="5">
        <v>44862</v>
      </c>
      <c r="E883" s="49">
        <v>10557</v>
      </c>
    </row>
    <row r="884" spans="1:5">
      <c r="A884" s="3" t="s">
        <v>20</v>
      </c>
      <c r="B884" s="3" t="s">
        <v>18</v>
      </c>
      <c r="C884" s="3" t="s">
        <v>19</v>
      </c>
      <c r="D884" s="5">
        <v>44862</v>
      </c>
      <c r="E884" s="49">
        <v>391902</v>
      </c>
    </row>
    <row r="885" spans="1:5">
      <c r="A885" s="3" t="s">
        <v>20</v>
      </c>
      <c r="B885" s="3" t="s">
        <v>18</v>
      </c>
      <c r="C885" s="3" t="s">
        <v>38</v>
      </c>
      <c r="D885" s="5">
        <v>44862</v>
      </c>
      <c r="E885" s="49">
        <v>5619</v>
      </c>
    </row>
    <row r="886" spans="1:5">
      <c r="A886" s="3" t="s">
        <v>20</v>
      </c>
      <c r="B886" s="3" t="s">
        <v>18</v>
      </c>
      <c r="C886" s="3" t="s">
        <v>39</v>
      </c>
      <c r="D886" s="5">
        <v>44862</v>
      </c>
      <c r="E886" s="49">
        <v>391902</v>
      </c>
    </row>
    <row r="887" spans="1:5">
      <c r="A887" s="3" t="s">
        <v>20</v>
      </c>
      <c r="B887" s="3" t="s">
        <v>18</v>
      </c>
      <c r="C887" s="3" t="s">
        <v>40</v>
      </c>
      <c r="D887" s="5">
        <v>44862</v>
      </c>
      <c r="E887" s="49">
        <v>4864</v>
      </c>
    </row>
    <row r="888" spans="1:5">
      <c r="A888" s="3" t="s">
        <v>20</v>
      </c>
      <c r="B888" s="3" t="s">
        <v>18</v>
      </c>
      <c r="C888" s="3" t="s">
        <v>73</v>
      </c>
      <c r="D888" s="5">
        <v>44862</v>
      </c>
      <c r="E888" s="49">
        <v>961</v>
      </c>
    </row>
    <row r="889" spans="1:5">
      <c r="A889" s="3" t="s">
        <v>20</v>
      </c>
      <c r="B889" s="3" t="s">
        <v>18</v>
      </c>
      <c r="C889" s="3" t="s">
        <v>41</v>
      </c>
      <c r="D889" s="5">
        <v>44862</v>
      </c>
      <c r="E889" s="49">
        <v>13225</v>
      </c>
    </row>
    <row r="890" spans="1:5">
      <c r="A890" s="3" t="s">
        <v>42</v>
      </c>
      <c r="B890" s="3" t="s">
        <v>2</v>
      </c>
      <c r="C890" s="3" t="s">
        <v>2</v>
      </c>
      <c r="D890" s="5">
        <v>44862</v>
      </c>
      <c r="E890" s="49">
        <v>954255</v>
      </c>
    </row>
    <row r="891" spans="1:5">
      <c r="A891" s="3" t="s">
        <v>42</v>
      </c>
      <c r="B891" s="3" t="s">
        <v>2</v>
      </c>
      <c r="C891" s="3" t="s">
        <v>43</v>
      </c>
      <c r="D891" s="5">
        <v>44862</v>
      </c>
      <c r="E891" s="49">
        <v>565953</v>
      </c>
    </row>
    <row r="892" spans="1:5">
      <c r="A892" s="3" t="s">
        <v>42</v>
      </c>
      <c r="B892" s="3" t="s">
        <v>2</v>
      </c>
      <c r="C892" s="3" t="s">
        <v>83</v>
      </c>
      <c r="D892" s="5">
        <v>44862</v>
      </c>
      <c r="E892" s="49">
        <v>133569</v>
      </c>
    </row>
    <row r="893" spans="1:5">
      <c r="A893" s="3" t="s">
        <v>42</v>
      </c>
      <c r="B893" s="3" t="s">
        <v>2</v>
      </c>
      <c r="C893" s="3" t="s">
        <v>44</v>
      </c>
      <c r="D893" s="5">
        <v>44862</v>
      </c>
      <c r="E893" s="49">
        <v>137262</v>
      </c>
    </row>
    <row r="894" spans="1:5">
      <c r="A894" s="3" t="s">
        <v>42</v>
      </c>
      <c r="B894" s="3" t="s">
        <v>2</v>
      </c>
      <c r="C894" s="3" t="s">
        <v>45</v>
      </c>
      <c r="D894" s="5">
        <v>44862</v>
      </c>
      <c r="E894" s="49">
        <v>156664</v>
      </c>
    </row>
    <row r="895" spans="1:5">
      <c r="A895" s="3" t="s">
        <v>42</v>
      </c>
      <c r="B895" s="3" t="s">
        <v>2</v>
      </c>
      <c r="C895" s="3" t="s">
        <v>80</v>
      </c>
      <c r="D895" s="5">
        <v>44862</v>
      </c>
      <c r="E895" s="49">
        <v>17997</v>
      </c>
    </row>
    <row r="896" spans="1:5">
      <c r="A896" s="3" t="s">
        <v>42</v>
      </c>
      <c r="B896" s="3" t="s">
        <v>3</v>
      </c>
      <c r="C896" s="3" t="s">
        <v>3</v>
      </c>
      <c r="D896" s="5">
        <v>44862</v>
      </c>
      <c r="E896" s="49">
        <v>209144</v>
      </c>
    </row>
    <row r="897" spans="1:5">
      <c r="A897" s="3" t="s">
        <v>42</v>
      </c>
      <c r="B897" s="3" t="s">
        <v>3</v>
      </c>
      <c r="C897" s="3" t="s">
        <v>46</v>
      </c>
      <c r="D897" s="5">
        <v>44862</v>
      </c>
      <c r="E897" s="49">
        <v>118097</v>
      </c>
    </row>
    <row r="898" spans="1:5">
      <c r="A898" s="3" t="s">
        <v>42</v>
      </c>
      <c r="B898" s="3" t="s">
        <v>3</v>
      </c>
      <c r="C898" s="3" t="s">
        <v>4</v>
      </c>
      <c r="D898" s="5">
        <v>44862</v>
      </c>
      <c r="E898" s="49">
        <v>47569</v>
      </c>
    </row>
    <row r="899" spans="1:5">
      <c r="A899" s="3" t="s">
        <v>42</v>
      </c>
      <c r="B899" s="3" t="s">
        <v>3</v>
      </c>
      <c r="C899" s="3" t="s">
        <v>5</v>
      </c>
      <c r="D899" s="5">
        <v>44862</v>
      </c>
      <c r="E899" s="49">
        <v>3429</v>
      </c>
    </row>
    <row r="900" spans="1:5">
      <c r="A900" s="3" t="s">
        <v>42</v>
      </c>
      <c r="B900" s="3" t="s">
        <v>3</v>
      </c>
      <c r="C900" s="3" t="s">
        <v>47</v>
      </c>
      <c r="D900" s="5">
        <v>44862</v>
      </c>
      <c r="E900" s="49">
        <v>7164</v>
      </c>
    </row>
    <row r="901" spans="1:5">
      <c r="A901" s="3" t="s">
        <v>42</v>
      </c>
      <c r="B901" s="3" t="s">
        <v>3</v>
      </c>
      <c r="C901" s="3" t="s">
        <v>48</v>
      </c>
      <c r="D901" s="5">
        <v>44862</v>
      </c>
      <c r="E901" s="49">
        <v>6953</v>
      </c>
    </row>
    <row r="902" spans="1:5">
      <c r="A902" s="3" t="s">
        <v>42</v>
      </c>
      <c r="B902" s="3" t="s">
        <v>3</v>
      </c>
      <c r="C902" s="3" t="s">
        <v>49</v>
      </c>
      <c r="D902" s="5">
        <v>44862</v>
      </c>
      <c r="E902" s="49">
        <v>39205</v>
      </c>
    </row>
    <row r="903" spans="1:5">
      <c r="A903" s="3" t="s">
        <v>42</v>
      </c>
      <c r="B903" s="3" t="s">
        <v>7</v>
      </c>
      <c r="C903" s="3" t="s">
        <v>7</v>
      </c>
      <c r="D903" s="5">
        <v>44862</v>
      </c>
      <c r="E903" s="49">
        <v>401347</v>
      </c>
    </row>
    <row r="904" spans="1:5">
      <c r="A904" s="3" t="s">
        <v>42</v>
      </c>
      <c r="B904" s="3" t="s">
        <v>7</v>
      </c>
      <c r="C904" s="3" t="s">
        <v>50</v>
      </c>
      <c r="D904" s="5">
        <v>44862</v>
      </c>
      <c r="E904" s="49">
        <v>182984</v>
      </c>
    </row>
    <row r="905" spans="1:5">
      <c r="A905" s="3" t="s">
        <v>42</v>
      </c>
      <c r="B905" s="3" t="s">
        <v>7</v>
      </c>
      <c r="C905" s="3" t="s">
        <v>51</v>
      </c>
      <c r="D905" s="5">
        <v>44862</v>
      </c>
      <c r="E905" s="49">
        <v>146675</v>
      </c>
    </row>
    <row r="906" spans="1:5">
      <c r="A906" s="3" t="s">
        <v>42</v>
      </c>
      <c r="B906" s="3" t="s">
        <v>10</v>
      </c>
      <c r="C906" s="3" t="s">
        <v>10</v>
      </c>
      <c r="D906" s="5">
        <v>44862</v>
      </c>
      <c r="E906" s="49">
        <v>916288</v>
      </c>
    </row>
    <row r="907" spans="1:5">
      <c r="A907" s="3" t="s">
        <v>42</v>
      </c>
      <c r="B907" s="3" t="s">
        <v>10</v>
      </c>
      <c r="C907" s="3" t="s">
        <v>52</v>
      </c>
      <c r="D907" s="5">
        <v>44862</v>
      </c>
      <c r="E907" s="49">
        <v>39578</v>
      </c>
    </row>
    <row r="908" spans="1:5">
      <c r="A908" s="3" t="s">
        <v>42</v>
      </c>
      <c r="B908" s="3" t="s">
        <v>10</v>
      </c>
      <c r="C908" s="3" t="s">
        <v>53</v>
      </c>
      <c r="D908" s="5">
        <v>44862</v>
      </c>
      <c r="E908" s="49">
        <v>421083</v>
      </c>
    </row>
    <row r="909" spans="1:5">
      <c r="A909" s="3" t="s">
        <v>42</v>
      </c>
      <c r="B909" s="3" t="s">
        <v>13</v>
      </c>
      <c r="C909" s="3" t="s">
        <v>13</v>
      </c>
      <c r="D909" s="5">
        <v>44862</v>
      </c>
      <c r="E909" s="49">
        <v>345838</v>
      </c>
    </row>
    <row r="910" spans="1:5">
      <c r="A910" s="3" t="s">
        <v>42</v>
      </c>
      <c r="B910" s="3" t="s">
        <v>13</v>
      </c>
      <c r="C910" s="3" t="s">
        <v>54</v>
      </c>
      <c r="D910" s="5">
        <v>44862</v>
      </c>
      <c r="E910" s="49">
        <v>70012</v>
      </c>
    </row>
    <row r="911" spans="1:5">
      <c r="A911" s="3" t="s">
        <v>42</v>
      </c>
      <c r="B911" s="3" t="s">
        <v>13</v>
      </c>
      <c r="C911" s="3" t="s">
        <v>55</v>
      </c>
      <c r="D911" s="5">
        <v>44862</v>
      </c>
      <c r="E911" s="49" t="s">
        <v>75</v>
      </c>
    </row>
    <row r="912" spans="1:5">
      <c r="A912" s="3" t="s">
        <v>42</v>
      </c>
      <c r="B912" s="3" t="s">
        <v>13</v>
      </c>
      <c r="C912" s="3" t="s">
        <v>56</v>
      </c>
      <c r="D912" s="5">
        <v>44862</v>
      </c>
      <c r="E912" s="49">
        <v>22007</v>
      </c>
    </row>
    <row r="913" spans="1:5">
      <c r="A913" s="3" t="s">
        <v>42</v>
      </c>
      <c r="B913" s="3" t="s">
        <v>13</v>
      </c>
      <c r="C913" s="3" t="s">
        <v>57</v>
      </c>
      <c r="D913" s="5">
        <v>44862</v>
      </c>
      <c r="E913" s="49" t="s">
        <v>75</v>
      </c>
    </row>
    <row r="914" spans="1:5">
      <c r="A914" s="3" t="s">
        <v>42</v>
      </c>
      <c r="B914" s="3" t="s">
        <v>16</v>
      </c>
      <c r="C914" s="3" t="s">
        <v>58</v>
      </c>
      <c r="D914" s="5">
        <v>44862</v>
      </c>
      <c r="E914" s="49">
        <v>39326</v>
      </c>
    </row>
    <row r="915" spans="1:5">
      <c r="A915" s="3" t="s">
        <v>42</v>
      </c>
      <c r="B915" s="3" t="s">
        <v>16</v>
      </c>
      <c r="C915" s="3" t="s">
        <v>59</v>
      </c>
      <c r="D915" s="5">
        <v>44862</v>
      </c>
      <c r="E915" s="49">
        <v>45962</v>
      </c>
    </row>
    <row r="916" spans="1:5">
      <c r="A916" s="3" t="s">
        <v>42</v>
      </c>
      <c r="B916" s="3" t="s">
        <v>16</v>
      </c>
      <c r="C916" s="3" t="s">
        <v>60</v>
      </c>
      <c r="D916" s="5">
        <v>44862</v>
      </c>
      <c r="E916" s="49">
        <v>26543</v>
      </c>
    </row>
    <row r="917" spans="1:5">
      <c r="A917" s="3" t="s">
        <v>42</v>
      </c>
      <c r="B917" s="3" t="s">
        <v>86</v>
      </c>
      <c r="C917" s="3" t="s">
        <v>89</v>
      </c>
      <c r="D917" s="5">
        <v>44862</v>
      </c>
      <c r="E917" s="49">
        <v>13474</v>
      </c>
    </row>
    <row r="918" spans="1:5">
      <c r="A918" s="3" t="s">
        <v>42</v>
      </c>
      <c r="B918" s="3" t="s">
        <v>18</v>
      </c>
      <c r="C918" s="3" t="s">
        <v>18</v>
      </c>
      <c r="D918" s="5">
        <v>44862</v>
      </c>
      <c r="E918" s="49">
        <v>45106</v>
      </c>
    </row>
    <row r="919" spans="1:5">
      <c r="A919" s="3" t="s">
        <v>42</v>
      </c>
      <c r="B919" s="3" t="s">
        <v>18</v>
      </c>
      <c r="C919" s="3" t="s">
        <v>62</v>
      </c>
      <c r="D919" s="5">
        <v>44862</v>
      </c>
      <c r="E919" s="49">
        <v>13083</v>
      </c>
    </row>
    <row r="920" spans="1:5">
      <c r="A920" s="3" t="s">
        <v>42</v>
      </c>
      <c r="B920" s="3" t="s">
        <v>18</v>
      </c>
      <c r="C920" s="3" t="s">
        <v>63</v>
      </c>
      <c r="D920" s="5">
        <v>44862</v>
      </c>
      <c r="E920" s="49">
        <v>1006</v>
      </c>
    </row>
    <row r="921" spans="1:5">
      <c r="A921" s="3" t="s">
        <v>79</v>
      </c>
      <c r="B921" s="3" t="s">
        <v>2</v>
      </c>
      <c r="C921" s="3" t="s">
        <v>64</v>
      </c>
      <c r="D921" s="5">
        <v>44862</v>
      </c>
      <c r="E921" s="49">
        <v>233176</v>
      </c>
    </row>
    <row r="922" spans="1:5">
      <c r="A922" s="3" t="s">
        <v>79</v>
      </c>
      <c r="B922" s="3" t="s">
        <v>3</v>
      </c>
      <c r="C922" s="3" t="s">
        <v>65</v>
      </c>
      <c r="D922" s="5">
        <v>44862</v>
      </c>
      <c r="E922" s="49">
        <v>126415</v>
      </c>
    </row>
    <row r="923" spans="1:5">
      <c r="A923" s="3" t="s">
        <v>79</v>
      </c>
      <c r="B923" s="3" t="s">
        <v>3</v>
      </c>
      <c r="C923" s="3" t="s">
        <v>66</v>
      </c>
      <c r="D923" s="5">
        <v>44862</v>
      </c>
      <c r="E923" s="49">
        <v>9821</v>
      </c>
    </row>
    <row r="924" spans="1:5">
      <c r="A924" s="3" t="s">
        <v>79</v>
      </c>
      <c r="B924" s="3" t="s">
        <v>3</v>
      </c>
      <c r="C924" s="3" t="s">
        <v>67</v>
      </c>
      <c r="D924" s="5">
        <v>44862</v>
      </c>
      <c r="E924" s="49">
        <v>11711</v>
      </c>
    </row>
    <row r="925" spans="1:5">
      <c r="A925" s="3" t="s">
        <v>79</v>
      </c>
      <c r="B925" s="3" t="s">
        <v>3</v>
      </c>
      <c r="C925" s="3" t="s">
        <v>68</v>
      </c>
      <c r="D925" s="5">
        <v>44862</v>
      </c>
      <c r="E925" s="49">
        <v>30120</v>
      </c>
    </row>
    <row r="926" spans="1:5">
      <c r="A926" s="3" t="s">
        <v>79</v>
      </c>
      <c r="B926" s="3" t="s">
        <v>7</v>
      </c>
      <c r="C926" s="3" t="s">
        <v>69</v>
      </c>
      <c r="D926" s="5">
        <v>44862</v>
      </c>
      <c r="E926" s="49">
        <v>249721</v>
      </c>
    </row>
    <row r="927" spans="1:5">
      <c r="A927" s="3" t="s">
        <v>79</v>
      </c>
      <c r="B927" s="3" t="s">
        <v>10</v>
      </c>
      <c r="C927" s="3" t="s">
        <v>53</v>
      </c>
      <c r="D927" s="5">
        <v>44862</v>
      </c>
      <c r="E927" s="49">
        <v>101512</v>
      </c>
    </row>
    <row r="928" spans="1:5">
      <c r="A928" s="3" t="s">
        <v>79</v>
      </c>
      <c r="B928" s="3" t="s">
        <v>10</v>
      </c>
      <c r="C928" s="3" t="s">
        <v>10</v>
      </c>
      <c r="D928" s="5">
        <v>44862</v>
      </c>
      <c r="E928" s="49">
        <v>108438</v>
      </c>
    </row>
    <row r="929" spans="1:5">
      <c r="A929" s="3" t="s">
        <v>79</v>
      </c>
      <c r="B929" s="3" t="s">
        <v>13</v>
      </c>
      <c r="C929" s="3" t="s">
        <v>70</v>
      </c>
      <c r="D929" s="5">
        <v>44862</v>
      </c>
      <c r="E929" s="49">
        <v>121919</v>
      </c>
    </row>
    <row r="930" spans="1:5">
      <c r="A930" s="3" t="s">
        <v>79</v>
      </c>
      <c r="B930" s="3" t="s">
        <v>16</v>
      </c>
      <c r="C930" s="3" t="s">
        <v>16</v>
      </c>
      <c r="D930" s="5">
        <v>44862</v>
      </c>
      <c r="E930" s="49">
        <v>28106</v>
      </c>
    </row>
    <row r="931" spans="1:5">
      <c r="A931" s="3" t="s">
        <v>79</v>
      </c>
      <c r="B931" s="3" t="s">
        <v>86</v>
      </c>
      <c r="C931" s="3" t="s">
        <v>86</v>
      </c>
      <c r="D931" s="5">
        <v>44862</v>
      </c>
      <c r="E931" s="49">
        <v>41750</v>
      </c>
    </row>
    <row r="932" spans="1:5">
      <c r="A932" s="3" t="s">
        <v>79</v>
      </c>
      <c r="B932" s="3" t="s">
        <v>18</v>
      </c>
      <c r="C932" s="3" t="s">
        <v>72</v>
      </c>
      <c r="D932" s="5">
        <v>44862</v>
      </c>
      <c r="E932" s="49">
        <v>40505</v>
      </c>
    </row>
    <row r="933" spans="1:5">
      <c r="A933" s="3" t="s">
        <v>1</v>
      </c>
      <c r="B933" s="3" t="s">
        <v>2</v>
      </c>
      <c r="C933" s="3" t="s">
        <v>2</v>
      </c>
      <c r="D933" s="5">
        <v>44893</v>
      </c>
      <c r="E933" s="8">
        <v>2762446</v>
      </c>
    </row>
    <row r="934" spans="1:5">
      <c r="A934" s="3" t="s">
        <v>1</v>
      </c>
      <c r="B934" s="3" t="s">
        <v>3</v>
      </c>
      <c r="C934" s="3" t="s">
        <v>3</v>
      </c>
      <c r="D934" s="5">
        <v>44893</v>
      </c>
      <c r="E934" s="8">
        <v>3935889</v>
      </c>
    </row>
    <row r="935" spans="1:5">
      <c r="A935" s="3" t="s">
        <v>1</v>
      </c>
      <c r="B935" s="3" t="s">
        <v>3</v>
      </c>
      <c r="C935" s="3" t="s">
        <v>4</v>
      </c>
      <c r="D935" s="5">
        <v>44893</v>
      </c>
      <c r="E935" s="8">
        <v>97144</v>
      </c>
    </row>
    <row r="936" spans="1:5">
      <c r="A936" s="3" t="s">
        <v>1</v>
      </c>
      <c r="B936" s="3" t="s">
        <v>3</v>
      </c>
      <c r="C936" s="3" t="s">
        <v>5</v>
      </c>
      <c r="D936" s="5">
        <v>44893</v>
      </c>
      <c r="E936" s="8">
        <v>14973</v>
      </c>
    </row>
    <row r="937" spans="1:5">
      <c r="A937" s="3" t="s">
        <v>1</v>
      </c>
      <c r="B937" s="3" t="s">
        <v>3</v>
      </c>
      <c r="C937" s="3" t="s">
        <v>6</v>
      </c>
      <c r="D937" s="5">
        <v>44893</v>
      </c>
      <c r="E937" s="8">
        <v>159333</v>
      </c>
    </row>
    <row r="938" spans="1:5">
      <c r="A938" s="3" t="s">
        <v>1</v>
      </c>
      <c r="B938" s="3" t="s">
        <v>7</v>
      </c>
      <c r="C938" s="3" t="s">
        <v>7</v>
      </c>
      <c r="D938" s="5">
        <v>44893</v>
      </c>
      <c r="E938" s="8">
        <v>3694207</v>
      </c>
    </row>
    <row r="939" spans="1:5">
      <c r="A939" s="3" t="s">
        <v>1</v>
      </c>
      <c r="B939" s="3" t="s">
        <v>7</v>
      </c>
      <c r="C939" s="3" t="s">
        <v>8</v>
      </c>
      <c r="D939" s="5">
        <v>44893</v>
      </c>
      <c r="E939" s="8">
        <v>420732</v>
      </c>
    </row>
    <row r="940" spans="1:5">
      <c r="A940" s="3" t="s">
        <v>1</v>
      </c>
      <c r="B940" s="3" t="s">
        <v>7</v>
      </c>
      <c r="C940" s="3" t="s">
        <v>9</v>
      </c>
      <c r="D940" s="5">
        <v>44893</v>
      </c>
      <c r="E940" s="8">
        <v>211000</v>
      </c>
    </row>
    <row r="941" spans="1:5">
      <c r="A941" s="3" t="s">
        <v>1</v>
      </c>
      <c r="B941" s="3" t="s">
        <v>10</v>
      </c>
      <c r="C941" s="3" t="s">
        <v>10</v>
      </c>
      <c r="D941" s="5">
        <v>44893</v>
      </c>
      <c r="E941" s="8">
        <v>1208969</v>
      </c>
    </row>
    <row r="942" spans="1:5">
      <c r="A942" s="3" t="s">
        <v>1</v>
      </c>
      <c r="B942" s="3" t="s">
        <v>10</v>
      </c>
      <c r="C942" s="3" t="s">
        <v>11</v>
      </c>
      <c r="D942" s="5">
        <v>44893</v>
      </c>
      <c r="E942" s="8">
        <v>1140596</v>
      </c>
    </row>
    <row r="943" spans="1:5">
      <c r="A943" s="3" t="s">
        <v>1</v>
      </c>
      <c r="B943" s="3" t="s">
        <v>10</v>
      </c>
      <c r="C943" s="3" t="s">
        <v>12</v>
      </c>
      <c r="D943" s="5">
        <v>44893</v>
      </c>
      <c r="E943" s="8">
        <v>215971</v>
      </c>
    </row>
    <row r="944" spans="1:5">
      <c r="A944" s="3" t="s">
        <v>1</v>
      </c>
      <c r="B944" s="3" t="s">
        <v>13</v>
      </c>
      <c r="C944" s="3" t="s">
        <v>13</v>
      </c>
      <c r="D944" s="5">
        <v>44893</v>
      </c>
      <c r="E944" s="8">
        <v>1157926</v>
      </c>
    </row>
    <row r="945" spans="1:5">
      <c r="A945" s="3" t="s">
        <v>1</v>
      </c>
      <c r="B945" s="3" t="s">
        <v>13</v>
      </c>
      <c r="C945" s="3" t="s">
        <v>14</v>
      </c>
      <c r="D945" s="5">
        <v>44893</v>
      </c>
      <c r="E945" s="8">
        <v>190639</v>
      </c>
    </row>
    <row r="946" spans="1:5">
      <c r="A946" s="3" t="s">
        <v>1</v>
      </c>
      <c r="B946" s="3" t="s">
        <v>13</v>
      </c>
      <c r="C946" s="3" t="s">
        <v>15</v>
      </c>
      <c r="D946" s="5">
        <v>44893</v>
      </c>
      <c r="E946" s="8"/>
    </row>
    <row r="947" spans="1:5">
      <c r="A947" s="3" t="s">
        <v>1</v>
      </c>
      <c r="B947" s="3" t="s">
        <v>16</v>
      </c>
      <c r="C947" s="3" t="s">
        <v>16</v>
      </c>
      <c r="D947" s="5">
        <v>44893</v>
      </c>
      <c r="E947" s="8">
        <v>345271</v>
      </c>
    </row>
    <row r="948" spans="1:5">
      <c r="A948" s="3" t="s">
        <v>1</v>
      </c>
      <c r="B948" s="3" t="s">
        <v>86</v>
      </c>
      <c r="C948" s="3" t="s">
        <v>86</v>
      </c>
      <c r="D948" s="5">
        <v>44893</v>
      </c>
      <c r="E948" s="8">
        <v>354743</v>
      </c>
    </row>
    <row r="949" spans="1:5">
      <c r="A949" s="3" t="s">
        <v>1</v>
      </c>
      <c r="B949" s="3" t="s">
        <v>18</v>
      </c>
      <c r="C949" s="3" t="s">
        <v>19</v>
      </c>
      <c r="D949" s="5">
        <v>44893</v>
      </c>
      <c r="E949" s="8">
        <v>331464</v>
      </c>
    </row>
    <row r="950" spans="1:5">
      <c r="A950" s="3" t="s">
        <v>20</v>
      </c>
      <c r="B950" s="3" t="s">
        <v>2</v>
      </c>
      <c r="C950" s="3" t="s">
        <v>2</v>
      </c>
      <c r="D950" s="5">
        <v>44893</v>
      </c>
      <c r="E950" s="8">
        <v>2346689</v>
      </c>
    </row>
    <row r="951" spans="1:5">
      <c r="A951" s="3" t="s">
        <v>20</v>
      </c>
      <c r="B951" s="3" t="s">
        <v>2</v>
      </c>
      <c r="C951" s="3" t="s">
        <v>21</v>
      </c>
      <c r="D951" s="5">
        <v>44893</v>
      </c>
      <c r="E951" s="8">
        <v>353163</v>
      </c>
    </row>
    <row r="952" spans="1:5">
      <c r="A952" s="3" t="s">
        <v>20</v>
      </c>
      <c r="B952" s="3" t="s">
        <v>2</v>
      </c>
      <c r="C952" s="3" t="s">
        <v>22</v>
      </c>
      <c r="D952" s="5">
        <v>44893</v>
      </c>
      <c r="E952" s="8">
        <v>309907</v>
      </c>
    </row>
    <row r="953" spans="1:5">
      <c r="A953" s="3" t="s">
        <v>20</v>
      </c>
      <c r="B953" s="3" t="s">
        <v>2</v>
      </c>
      <c r="C953" s="3" t="s">
        <v>23</v>
      </c>
      <c r="D953" s="5">
        <v>44893</v>
      </c>
      <c r="E953" s="8">
        <v>670318</v>
      </c>
    </row>
    <row r="954" spans="1:5">
      <c r="A954" s="3" t="s">
        <v>20</v>
      </c>
      <c r="B954" s="3" t="s">
        <v>2</v>
      </c>
      <c r="C954" s="3" t="s">
        <v>24</v>
      </c>
      <c r="D954" s="5">
        <v>44893</v>
      </c>
      <c r="E954" s="8">
        <v>21265</v>
      </c>
    </row>
    <row r="955" spans="1:5">
      <c r="A955" s="3" t="s">
        <v>20</v>
      </c>
      <c r="B955" s="3" t="s">
        <v>3</v>
      </c>
      <c r="C955" s="3" t="s">
        <v>3</v>
      </c>
      <c r="D955" s="5">
        <v>44893</v>
      </c>
      <c r="E955" s="8">
        <v>601169</v>
      </c>
    </row>
    <row r="956" spans="1:5">
      <c r="A956" s="3" t="s">
        <v>20</v>
      </c>
      <c r="B956" s="3" t="s">
        <v>3</v>
      </c>
      <c r="C956" s="3" t="s">
        <v>25</v>
      </c>
      <c r="D956" s="5">
        <v>44893</v>
      </c>
      <c r="E956" s="8">
        <v>32013</v>
      </c>
    </row>
    <row r="957" spans="1:5">
      <c r="A957" s="3" t="s">
        <v>20</v>
      </c>
      <c r="B957" s="3" t="s">
        <v>7</v>
      </c>
      <c r="C957" s="3" t="s">
        <v>7</v>
      </c>
      <c r="D957" s="5">
        <v>44893</v>
      </c>
      <c r="E957" s="8">
        <v>381531</v>
      </c>
    </row>
    <row r="958" spans="1:5">
      <c r="A958" s="3" t="s">
        <v>20</v>
      </c>
      <c r="B958" s="3" t="s">
        <v>7</v>
      </c>
      <c r="C958" s="3" t="s">
        <v>8</v>
      </c>
      <c r="D958" s="5">
        <v>44893</v>
      </c>
      <c r="E958" s="8">
        <v>3516482</v>
      </c>
    </row>
    <row r="959" spans="1:5">
      <c r="A959" s="3" t="s">
        <v>20</v>
      </c>
      <c r="B959" s="3" t="s">
        <v>7</v>
      </c>
      <c r="C959" s="3" t="s">
        <v>26</v>
      </c>
      <c r="D959" s="5">
        <v>44893</v>
      </c>
      <c r="E959" s="8">
        <v>39061</v>
      </c>
    </row>
    <row r="960" spans="1:5">
      <c r="A960" s="3" t="s">
        <v>20</v>
      </c>
      <c r="B960" s="3" t="s">
        <v>10</v>
      </c>
      <c r="C960" s="3" t="s">
        <v>10</v>
      </c>
      <c r="D960" s="5">
        <v>44893</v>
      </c>
      <c r="E960" s="8">
        <v>3905209</v>
      </c>
    </row>
    <row r="961" spans="1:5">
      <c r="A961" s="3" t="s">
        <v>20</v>
      </c>
      <c r="B961" s="3" t="s">
        <v>10</v>
      </c>
      <c r="C961" s="3" t="s">
        <v>27</v>
      </c>
      <c r="D961" s="5">
        <v>44893</v>
      </c>
      <c r="E961" s="8">
        <v>14384</v>
      </c>
    </row>
    <row r="962" spans="1:5">
      <c r="A962" s="3" t="s">
        <v>20</v>
      </c>
      <c r="B962" s="3" t="s">
        <v>10</v>
      </c>
      <c r="C962" s="3" t="s">
        <v>82</v>
      </c>
      <c r="D962" s="5">
        <v>44893</v>
      </c>
      <c r="E962" s="8">
        <v>63026</v>
      </c>
    </row>
    <row r="963" spans="1:5">
      <c r="A963" s="3" t="s">
        <v>20</v>
      </c>
      <c r="B963" s="3" t="s">
        <v>13</v>
      </c>
      <c r="C963" s="3" t="s">
        <v>13</v>
      </c>
      <c r="D963" s="5">
        <v>44893</v>
      </c>
      <c r="E963" s="8">
        <v>2028070</v>
      </c>
    </row>
    <row r="964" spans="1:5">
      <c r="A964" s="3" t="s">
        <v>20</v>
      </c>
      <c r="B964" s="3" t="s">
        <v>13</v>
      </c>
      <c r="C964" s="3" t="s">
        <v>81</v>
      </c>
      <c r="D964" s="5">
        <v>44893</v>
      </c>
      <c r="E964" s="8">
        <v>112150</v>
      </c>
    </row>
    <row r="965" spans="1:5">
      <c r="A965" s="3" t="s">
        <v>20</v>
      </c>
      <c r="B965" s="3" t="s">
        <v>13</v>
      </c>
      <c r="C965" s="3" t="s">
        <v>28</v>
      </c>
      <c r="D965" s="5">
        <v>44893</v>
      </c>
      <c r="E965" s="8"/>
    </row>
    <row r="966" spans="1:5">
      <c r="A966" s="3" t="s">
        <v>20</v>
      </c>
      <c r="B966" s="3" t="s">
        <v>16</v>
      </c>
      <c r="C966" s="3" t="s">
        <v>16</v>
      </c>
      <c r="D966" s="5">
        <v>44893</v>
      </c>
      <c r="E966" s="8">
        <v>255554</v>
      </c>
    </row>
    <row r="967" spans="1:5">
      <c r="A967" s="3" t="s">
        <v>20</v>
      </c>
      <c r="B967" s="3" t="s">
        <v>16</v>
      </c>
      <c r="C967" s="3" t="s">
        <v>29</v>
      </c>
      <c r="D967" s="5">
        <v>44893</v>
      </c>
      <c r="E967" s="8">
        <v>16715</v>
      </c>
    </row>
    <row r="968" spans="1:5">
      <c r="A968" s="3" t="s">
        <v>20</v>
      </c>
      <c r="B968" s="3" t="s">
        <v>16</v>
      </c>
      <c r="C968" s="3" t="s">
        <v>30</v>
      </c>
      <c r="D968" s="5">
        <v>44893</v>
      </c>
      <c r="E968" s="8">
        <v>11982</v>
      </c>
    </row>
    <row r="969" spans="1:5">
      <c r="A969" s="3" t="s">
        <v>20</v>
      </c>
      <c r="B969" s="3" t="s">
        <v>16</v>
      </c>
      <c r="C969" s="3" t="s">
        <v>31</v>
      </c>
      <c r="D969" s="5">
        <v>44893</v>
      </c>
      <c r="E969" s="8">
        <v>8553</v>
      </c>
    </row>
    <row r="970" spans="1:5">
      <c r="A970" s="3" t="s">
        <v>20</v>
      </c>
      <c r="B970" s="3" t="s">
        <v>16</v>
      </c>
      <c r="C970" s="3" t="s">
        <v>32</v>
      </c>
      <c r="D970" s="5">
        <v>44893</v>
      </c>
      <c r="E970" s="8">
        <v>9025</v>
      </c>
    </row>
    <row r="971" spans="1:5">
      <c r="A971" s="3" t="s">
        <v>20</v>
      </c>
      <c r="B971" s="3" t="s">
        <v>16</v>
      </c>
      <c r="C971" s="3" t="s">
        <v>33</v>
      </c>
      <c r="D971" s="5">
        <v>44893</v>
      </c>
      <c r="E971" s="8"/>
    </row>
    <row r="972" spans="1:5">
      <c r="A972" s="3" t="s">
        <v>20</v>
      </c>
      <c r="B972" s="3" t="s">
        <v>86</v>
      </c>
      <c r="C972" s="3" t="s">
        <v>86</v>
      </c>
      <c r="D972" s="5">
        <v>44893</v>
      </c>
      <c r="E972" s="8">
        <v>92433</v>
      </c>
    </row>
    <row r="973" spans="1:5">
      <c r="A973" s="3" t="s">
        <v>20</v>
      </c>
      <c r="B973" s="3" t="s">
        <v>86</v>
      </c>
      <c r="C973" s="3" t="s">
        <v>92</v>
      </c>
      <c r="D973" s="5">
        <v>44893</v>
      </c>
      <c r="E973" s="8">
        <v>8125</v>
      </c>
    </row>
    <row r="974" spans="1:5">
      <c r="A974" s="3" t="s">
        <v>20</v>
      </c>
      <c r="B974" s="3" t="s">
        <v>86</v>
      </c>
      <c r="C974" s="3" t="s">
        <v>93</v>
      </c>
      <c r="D974" s="5">
        <v>44893</v>
      </c>
      <c r="E974" s="8">
        <v>9475</v>
      </c>
    </row>
    <row r="975" spans="1:5">
      <c r="A975" s="3" t="s">
        <v>20</v>
      </c>
      <c r="B975" s="3" t="s">
        <v>86</v>
      </c>
      <c r="C975" s="3" t="s">
        <v>94</v>
      </c>
      <c r="D975" s="5">
        <v>44893</v>
      </c>
      <c r="E975" s="8">
        <v>9493</v>
      </c>
    </row>
    <row r="976" spans="1:5">
      <c r="A976" s="3" t="s">
        <v>20</v>
      </c>
      <c r="B976" s="3" t="s">
        <v>86</v>
      </c>
      <c r="C976" s="3" t="s">
        <v>95</v>
      </c>
      <c r="D976" s="5">
        <v>44893</v>
      </c>
      <c r="E976" s="8">
        <v>10677</v>
      </c>
    </row>
    <row r="977" spans="1:5">
      <c r="A977" s="3" t="s">
        <v>20</v>
      </c>
      <c r="B977" s="3" t="s">
        <v>18</v>
      </c>
      <c r="C977" s="3" t="s">
        <v>19</v>
      </c>
      <c r="D977" s="5">
        <v>44893</v>
      </c>
      <c r="E977" s="8">
        <v>397841</v>
      </c>
    </row>
    <row r="978" spans="1:5">
      <c r="A978" s="3" t="s">
        <v>20</v>
      </c>
      <c r="B978" s="3" t="s">
        <v>18</v>
      </c>
      <c r="C978" s="3" t="s">
        <v>38</v>
      </c>
      <c r="D978" s="5">
        <v>44893</v>
      </c>
      <c r="E978" s="8">
        <v>5750</v>
      </c>
    </row>
    <row r="979" spans="1:5">
      <c r="A979" s="3" t="s">
        <v>20</v>
      </c>
      <c r="B979" s="3" t="s">
        <v>18</v>
      </c>
      <c r="C979" s="3" t="s">
        <v>39</v>
      </c>
      <c r="D979" s="5">
        <v>44893</v>
      </c>
      <c r="E979" s="8">
        <v>397841</v>
      </c>
    </row>
    <row r="980" spans="1:5">
      <c r="A980" s="3" t="s">
        <v>20</v>
      </c>
      <c r="B980" s="3" t="s">
        <v>18</v>
      </c>
      <c r="C980" s="3" t="s">
        <v>40</v>
      </c>
      <c r="D980" s="5">
        <v>44893</v>
      </c>
      <c r="E980" s="8">
        <v>5081</v>
      </c>
    </row>
    <row r="981" spans="1:5">
      <c r="A981" s="3" t="s">
        <v>20</v>
      </c>
      <c r="B981" s="3" t="s">
        <v>18</v>
      </c>
      <c r="C981" s="3" t="s">
        <v>73</v>
      </c>
      <c r="D981" s="5">
        <v>44893</v>
      </c>
      <c r="E981" s="8">
        <v>987</v>
      </c>
    </row>
    <row r="982" spans="1:5">
      <c r="A982" s="3" t="s">
        <v>20</v>
      </c>
      <c r="B982" s="3" t="s">
        <v>18</v>
      </c>
      <c r="C982" s="3" t="s">
        <v>41</v>
      </c>
      <c r="D982" s="5">
        <v>44893</v>
      </c>
      <c r="E982" s="8">
        <v>13613</v>
      </c>
    </row>
    <row r="983" spans="1:5">
      <c r="A983" s="3" t="s">
        <v>42</v>
      </c>
      <c r="B983" s="3" t="s">
        <v>2</v>
      </c>
      <c r="C983" s="3" t="s">
        <v>2</v>
      </c>
      <c r="D983" s="5">
        <v>44893</v>
      </c>
      <c r="E983" s="8">
        <v>947958</v>
      </c>
    </row>
    <row r="984" spans="1:5">
      <c r="A984" s="3" t="s">
        <v>42</v>
      </c>
      <c r="B984" s="3" t="s">
        <v>2</v>
      </c>
      <c r="C984" s="3" t="s">
        <v>43</v>
      </c>
      <c r="D984" s="5">
        <v>44893</v>
      </c>
      <c r="E984" s="8">
        <v>563380</v>
      </c>
    </row>
    <row r="985" spans="1:5">
      <c r="A985" s="3" t="s">
        <v>42</v>
      </c>
      <c r="B985" s="3" t="s">
        <v>2</v>
      </c>
      <c r="C985" s="3" t="s">
        <v>83</v>
      </c>
      <c r="D985" s="5">
        <v>44893</v>
      </c>
      <c r="E985" s="8">
        <v>132837</v>
      </c>
    </row>
    <row r="986" spans="1:5">
      <c r="A986" s="3" t="s">
        <v>42</v>
      </c>
      <c r="B986" s="3" t="s">
        <v>2</v>
      </c>
      <c r="C986" s="3" t="s">
        <v>44</v>
      </c>
      <c r="D986" s="5">
        <v>44893</v>
      </c>
      <c r="E986" s="8">
        <v>137346</v>
      </c>
    </row>
    <row r="987" spans="1:5">
      <c r="A987" s="3" t="s">
        <v>42</v>
      </c>
      <c r="B987" s="3" t="s">
        <v>2</v>
      </c>
      <c r="C987" s="3" t="s">
        <v>45</v>
      </c>
      <c r="D987" s="5">
        <v>44893</v>
      </c>
      <c r="E987" s="8">
        <v>155585</v>
      </c>
    </row>
    <row r="988" spans="1:5">
      <c r="A988" s="3" t="s">
        <v>42</v>
      </c>
      <c r="B988" s="3" t="s">
        <v>2</v>
      </c>
      <c r="C988" s="3" t="s">
        <v>80</v>
      </c>
      <c r="D988" s="5">
        <v>44893</v>
      </c>
      <c r="E988" s="8">
        <v>17934</v>
      </c>
    </row>
    <row r="989" spans="1:5">
      <c r="A989" s="3" t="s">
        <v>42</v>
      </c>
      <c r="B989" s="3" t="s">
        <v>3</v>
      </c>
      <c r="C989" s="3" t="s">
        <v>3</v>
      </c>
      <c r="D989" s="5">
        <v>44893</v>
      </c>
      <c r="E989" s="8">
        <v>214638</v>
      </c>
    </row>
    <row r="990" spans="1:5">
      <c r="A990" s="3" t="s">
        <v>42</v>
      </c>
      <c r="B990" s="3" t="s">
        <v>3</v>
      </c>
      <c r="C990" s="3" t="s">
        <v>46</v>
      </c>
      <c r="D990" s="5">
        <v>44893</v>
      </c>
      <c r="E990" s="8">
        <v>117328</v>
      </c>
    </row>
    <row r="991" spans="1:5">
      <c r="A991" s="3" t="s">
        <v>42</v>
      </c>
      <c r="B991" s="3" t="s">
        <v>3</v>
      </c>
      <c r="C991" s="3" t="s">
        <v>4</v>
      </c>
      <c r="D991" s="5">
        <v>44893</v>
      </c>
      <c r="E991" s="8">
        <v>47029</v>
      </c>
    </row>
    <row r="992" spans="1:5">
      <c r="A992" s="3" t="s">
        <v>42</v>
      </c>
      <c r="B992" s="3" t="s">
        <v>3</v>
      </c>
      <c r="C992" s="3" t="s">
        <v>5</v>
      </c>
      <c r="D992" s="5">
        <v>44893</v>
      </c>
      <c r="E992" s="8">
        <v>3382</v>
      </c>
    </row>
    <row r="993" spans="1:5">
      <c r="A993" s="3" t="s">
        <v>42</v>
      </c>
      <c r="B993" s="3" t="s">
        <v>3</v>
      </c>
      <c r="C993" s="3" t="s">
        <v>47</v>
      </c>
      <c r="D993" s="5">
        <v>44893</v>
      </c>
      <c r="E993" s="8">
        <v>7076</v>
      </c>
    </row>
    <row r="994" spans="1:5">
      <c r="A994" s="3" t="s">
        <v>42</v>
      </c>
      <c r="B994" s="3" t="s">
        <v>3</v>
      </c>
      <c r="C994" s="3" t="s">
        <v>48</v>
      </c>
      <c r="D994" s="5">
        <v>44893</v>
      </c>
      <c r="E994" s="8">
        <v>6879</v>
      </c>
    </row>
    <row r="995" spans="1:5">
      <c r="A995" s="3" t="s">
        <v>42</v>
      </c>
      <c r="B995" s="3" t="s">
        <v>3</v>
      </c>
      <c r="C995" s="3" t="s">
        <v>49</v>
      </c>
      <c r="D995" s="5">
        <v>44893</v>
      </c>
      <c r="E995" s="8">
        <v>38967</v>
      </c>
    </row>
    <row r="996" spans="1:5">
      <c r="A996" s="3" t="s">
        <v>42</v>
      </c>
      <c r="B996" s="3" t="s">
        <v>7</v>
      </c>
      <c r="C996" s="3" t="s">
        <v>7</v>
      </c>
      <c r="D996" s="5">
        <v>44893</v>
      </c>
      <c r="E996" s="8">
        <v>398056</v>
      </c>
    </row>
    <row r="997" spans="1:5">
      <c r="A997" s="3" t="s">
        <v>42</v>
      </c>
      <c r="B997" s="3" t="s">
        <v>7</v>
      </c>
      <c r="C997" s="3" t="s">
        <v>50</v>
      </c>
      <c r="D997" s="5">
        <v>44893</v>
      </c>
      <c r="E997" s="8">
        <v>181827</v>
      </c>
    </row>
    <row r="998" spans="1:5">
      <c r="A998" s="3" t="s">
        <v>42</v>
      </c>
      <c r="B998" s="3" t="s">
        <v>7</v>
      </c>
      <c r="C998" s="3" t="s">
        <v>51</v>
      </c>
      <c r="D998" s="5">
        <v>44893</v>
      </c>
      <c r="E998" s="8">
        <v>145224</v>
      </c>
    </row>
    <row r="999" spans="1:5">
      <c r="A999" s="3" t="s">
        <v>42</v>
      </c>
      <c r="B999" s="3" t="s">
        <v>10</v>
      </c>
      <c r="C999" s="3" t="s">
        <v>10</v>
      </c>
      <c r="D999" s="5">
        <v>44893</v>
      </c>
      <c r="E999" s="8">
        <v>914201</v>
      </c>
    </row>
    <row r="1000" spans="1:5">
      <c r="A1000" s="3" t="s">
        <v>42</v>
      </c>
      <c r="B1000" s="3" t="s">
        <v>10</v>
      </c>
      <c r="C1000" s="3" t="s">
        <v>52</v>
      </c>
      <c r="D1000" s="5">
        <v>44893</v>
      </c>
      <c r="E1000" s="8">
        <v>39348</v>
      </c>
    </row>
    <row r="1001" spans="1:5">
      <c r="A1001" s="3" t="s">
        <v>42</v>
      </c>
      <c r="B1001" s="3" t="s">
        <v>10</v>
      </c>
      <c r="C1001" s="3" t="s">
        <v>53</v>
      </c>
      <c r="D1001" s="5">
        <v>44893</v>
      </c>
      <c r="E1001" s="8">
        <v>420484</v>
      </c>
    </row>
    <row r="1002" spans="1:5">
      <c r="A1002" s="3" t="s">
        <v>42</v>
      </c>
      <c r="B1002" s="3" t="s">
        <v>13</v>
      </c>
      <c r="C1002" s="3" t="s">
        <v>13</v>
      </c>
      <c r="D1002" s="5">
        <v>44893</v>
      </c>
      <c r="E1002" s="8">
        <v>344754</v>
      </c>
    </row>
    <row r="1003" spans="1:5">
      <c r="A1003" s="3" t="s">
        <v>42</v>
      </c>
      <c r="B1003" s="3" t="s">
        <v>13</v>
      </c>
      <c r="C1003" s="3" t="s">
        <v>54</v>
      </c>
      <c r="D1003" s="5">
        <v>44893</v>
      </c>
      <c r="E1003" s="8">
        <v>69505</v>
      </c>
    </row>
    <row r="1004" spans="1:5">
      <c r="A1004" s="3" t="s">
        <v>42</v>
      </c>
      <c r="B1004" s="3" t="s">
        <v>13</v>
      </c>
      <c r="C1004" s="3" t="s">
        <v>55</v>
      </c>
      <c r="D1004" s="5">
        <v>44893</v>
      </c>
      <c r="E1004" s="8"/>
    </row>
    <row r="1005" spans="1:5">
      <c r="A1005" s="3" t="s">
        <v>42</v>
      </c>
      <c r="B1005" s="3" t="s">
        <v>13</v>
      </c>
      <c r="C1005" s="3" t="s">
        <v>56</v>
      </c>
      <c r="D1005" s="5">
        <v>44893</v>
      </c>
      <c r="E1005" s="8">
        <v>21834</v>
      </c>
    </row>
    <row r="1006" spans="1:5">
      <c r="A1006" s="3" t="s">
        <v>42</v>
      </c>
      <c r="B1006" s="3" t="s">
        <v>13</v>
      </c>
      <c r="C1006" s="3" t="s">
        <v>57</v>
      </c>
      <c r="D1006" s="5">
        <v>44893</v>
      </c>
      <c r="E1006" s="8"/>
    </row>
    <row r="1007" spans="1:5">
      <c r="A1007" s="3" t="s">
        <v>42</v>
      </c>
      <c r="B1007" s="3" t="s">
        <v>16</v>
      </c>
      <c r="C1007" s="3" t="s">
        <v>58</v>
      </c>
      <c r="D1007" s="5">
        <v>44893</v>
      </c>
      <c r="E1007" s="8">
        <v>38989</v>
      </c>
    </row>
    <row r="1008" spans="1:5">
      <c r="A1008" s="3" t="s">
        <v>42</v>
      </c>
      <c r="B1008" s="3" t="s">
        <v>16</v>
      </c>
      <c r="C1008" s="3" t="s">
        <v>59</v>
      </c>
      <c r="D1008" s="5">
        <v>44893</v>
      </c>
      <c r="E1008" s="8">
        <v>45714</v>
      </c>
    </row>
    <row r="1009" spans="1:5">
      <c r="A1009" s="3" t="s">
        <v>42</v>
      </c>
      <c r="B1009" s="3" t="s">
        <v>16</v>
      </c>
      <c r="C1009" s="3" t="s">
        <v>60</v>
      </c>
      <c r="D1009" s="5">
        <v>44893</v>
      </c>
      <c r="E1009" s="8">
        <v>26284</v>
      </c>
    </row>
    <row r="1010" spans="1:5">
      <c r="A1010" s="3" t="s">
        <v>42</v>
      </c>
      <c r="B1010" s="3" t="s">
        <v>86</v>
      </c>
      <c r="C1010" s="3" t="s">
        <v>89</v>
      </c>
      <c r="D1010" s="5">
        <v>44893</v>
      </c>
      <c r="E1010" s="8">
        <v>13406</v>
      </c>
    </row>
    <row r="1011" spans="1:5">
      <c r="A1011" s="3" t="s">
        <v>42</v>
      </c>
      <c r="B1011" s="3" t="s">
        <v>18</v>
      </c>
      <c r="C1011" s="3" t="s">
        <v>18</v>
      </c>
      <c r="D1011" s="5">
        <v>44893</v>
      </c>
      <c r="E1011" s="8">
        <v>44714</v>
      </c>
    </row>
    <row r="1012" spans="1:5">
      <c r="A1012" s="3" t="s">
        <v>42</v>
      </c>
      <c r="B1012" s="3" t="s">
        <v>18</v>
      </c>
      <c r="C1012" s="3" t="s">
        <v>62</v>
      </c>
      <c r="D1012" s="5">
        <v>44893</v>
      </c>
      <c r="E1012" s="8">
        <v>12969</v>
      </c>
    </row>
    <row r="1013" spans="1:5">
      <c r="A1013" s="3" t="s">
        <v>42</v>
      </c>
      <c r="B1013" s="3" t="s">
        <v>18</v>
      </c>
      <c r="C1013" s="3" t="s">
        <v>63</v>
      </c>
      <c r="D1013" s="5">
        <v>44893</v>
      </c>
      <c r="E1013" s="8">
        <v>989</v>
      </c>
    </row>
    <row r="1014" spans="1:5">
      <c r="A1014" s="3" t="s">
        <v>79</v>
      </c>
      <c r="B1014" s="3" t="s">
        <v>2</v>
      </c>
      <c r="C1014" s="3" t="s">
        <v>64</v>
      </c>
      <c r="D1014" s="5">
        <v>44893</v>
      </c>
      <c r="E1014" s="8">
        <v>238739</v>
      </c>
    </row>
    <row r="1015" spans="1:5">
      <c r="A1015" s="3" t="s">
        <v>79</v>
      </c>
      <c r="B1015" s="3" t="s">
        <v>3</v>
      </c>
      <c r="C1015" s="3" t="s">
        <v>65</v>
      </c>
      <c r="D1015" s="5">
        <v>44893</v>
      </c>
      <c r="E1015" s="8">
        <v>133289</v>
      </c>
    </row>
    <row r="1016" spans="1:5">
      <c r="A1016" s="3" t="s">
        <v>79</v>
      </c>
      <c r="B1016" s="3" t="s">
        <v>3</v>
      </c>
      <c r="C1016" s="3" t="s">
        <v>66</v>
      </c>
      <c r="D1016" s="5">
        <v>44893</v>
      </c>
      <c r="E1016" s="8">
        <v>10562</v>
      </c>
    </row>
    <row r="1017" spans="1:5">
      <c r="A1017" s="3" t="s">
        <v>79</v>
      </c>
      <c r="B1017" s="3" t="s">
        <v>3</v>
      </c>
      <c r="C1017" s="3" t="s">
        <v>67</v>
      </c>
      <c r="D1017" s="5">
        <v>44893</v>
      </c>
      <c r="E1017" s="8">
        <v>12441</v>
      </c>
    </row>
    <row r="1018" spans="1:5">
      <c r="A1018" s="3" t="s">
        <v>79</v>
      </c>
      <c r="B1018" s="3" t="s">
        <v>3</v>
      </c>
      <c r="C1018" s="3" t="s">
        <v>68</v>
      </c>
      <c r="D1018" s="5">
        <v>44893</v>
      </c>
      <c r="E1018" s="8">
        <v>30684</v>
      </c>
    </row>
    <row r="1019" spans="1:5">
      <c r="A1019" s="3" t="s">
        <v>79</v>
      </c>
      <c r="B1019" s="3" t="s">
        <v>7</v>
      </c>
      <c r="C1019" s="3" t="s">
        <v>69</v>
      </c>
      <c r="D1019" s="5">
        <v>44893</v>
      </c>
      <c r="E1019" s="8">
        <v>252454</v>
      </c>
    </row>
    <row r="1020" spans="1:5">
      <c r="A1020" s="3" t="s">
        <v>79</v>
      </c>
      <c r="B1020" s="3" t="s">
        <v>10</v>
      </c>
      <c r="C1020" s="3" t="s">
        <v>53</v>
      </c>
      <c r="D1020" s="5">
        <v>44893</v>
      </c>
      <c r="E1020" s="8">
        <v>105851</v>
      </c>
    </row>
    <row r="1021" spans="1:5">
      <c r="A1021" s="3" t="s">
        <v>79</v>
      </c>
      <c r="B1021" s="3" t="s">
        <v>10</v>
      </c>
      <c r="C1021" s="3" t="s">
        <v>10</v>
      </c>
      <c r="D1021" s="5">
        <v>44893</v>
      </c>
      <c r="E1021" s="8">
        <v>112128</v>
      </c>
    </row>
    <row r="1022" spans="1:5">
      <c r="A1022" s="3" t="s">
        <v>79</v>
      </c>
      <c r="B1022" s="3" t="s">
        <v>13</v>
      </c>
      <c r="C1022" s="3" t="s">
        <v>70</v>
      </c>
      <c r="D1022" s="5">
        <v>44893</v>
      </c>
      <c r="E1022" s="8">
        <v>123223</v>
      </c>
    </row>
    <row r="1023" spans="1:5">
      <c r="A1023" s="3" t="s">
        <v>79</v>
      </c>
      <c r="B1023" s="3" t="s">
        <v>16</v>
      </c>
      <c r="C1023" s="3" t="s">
        <v>16</v>
      </c>
      <c r="D1023" s="5">
        <v>44893</v>
      </c>
      <c r="E1023" s="8">
        <v>29022</v>
      </c>
    </row>
    <row r="1024" spans="1:5">
      <c r="A1024" s="3" t="s">
        <v>79</v>
      </c>
      <c r="B1024" s="3" t="s">
        <v>86</v>
      </c>
      <c r="C1024" s="3" t="s">
        <v>86</v>
      </c>
      <c r="D1024" s="5">
        <v>44893</v>
      </c>
      <c r="E1024" s="8">
        <v>42734</v>
      </c>
    </row>
    <row r="1025" spans="1:5">
      <c r="A1025" s="3" t="s">
        <v>79</v>
      </c>
      <c r="B1025" s="3" t="s">
        <v>18</v>
      </c>
      <c r="C1025" s="3" t="s">
        <v>72</v>
      </c>
      <c r="D1025" s="5">
        <v>44893</v>
      </c>
      <c r="E1025" s="8">
        <v>41950</v>
      </c>
    </row>
    <row r="1026" spans="1:5">
      <c r="A1026" s="3" t="s">
        <v>1</v>
      </c>
      <c r="B1026" s="3" t="s">
        <v>2</v>
      </c>
      <c r="C1026" s="3" t="s">
        <v>2</v>
      </c>
      <c r="D1026" s="5">
        <v>44914</v>
      </c>
      <c r="E1026" s="49">
        <v>2764492</v>
      </c>
    </row>
    <row r="1027" spans="1:5">
      <c r="A1027" s="3" t="s">
        <v>1</v>
      </c>
      <c r="B1027" s="3" t="s">
        <v>3</v>
      </c>
      <c r="C1027" s="3" t="s">
        <v>3</v>
      </c>
      <c r="D1027" s="5">
        <v>44914</v>
      </c>
      <c r="E1027" s="49">
        <v>3936662</v>
      </c>
    </row>
    <row r="1028" spans="1:5">
      <c r="A1028" s="3" t="s">
        <v>1</v>
      </c>
      <c r="B1028" s="3" t="s">
        <v>3</v>
      </c>
      <c r="C1028" s="3" t="s">
        <v>4</v>
      </c>
      <c r="D1028" s="5">
        <v>44914</v>
      </c>
      <c r="E1028" s="49">
        <v>97239</v>
      </c>
    </row>
    <row r="1029" spans="1:5">
      <c r="A1029" s="3" t="s">
        <v>1</v>
      </c>
      <c r="B1029" s="3" t="s">
        <v>3</v>
      </c>
      <c r="C1029" s="3" t="s">
        <v>5</v>
      </c>
      <c r="D1029" s="5">
        <v>44914</v>
      </c>
      <c r="E1029" s="49">
        <v>14997</v>
      </c>
    </row>
    <row r="1030" spans="1:5">
      <c r="A1030" s="3" t="s">
        <v>1</v>
      </c>
      <c r="B1030" s="3" t="s">
        <v>3</v>
      </c>
      <c r="C1030" s="3" t="s">
        <v>6</v>
      </c>
      <c r="D1030" s="5">
        <v>44914</v>
      </c>
      <c r="E1030" s="49">
        <v>159666</v>
      </c>
    </row>
    <row r="1031" spans="1:5">
      <c r="A1031" s="3" t="s">
        <v>1</v>
      </c>
      <c r="B1031" s="3" t="s">
        <v>7</v>
      </c>
      <c r="C1031" s="3" t="s">
        <v>7</v>
      </c>
      <c r="D1031" s="5">
        <v>44914</v>
      </c>
      <c r="E1031" s="49">
        <v>3693408</v>
      </c>
    </row>
    <row r="1032" spans="1:5">
      <c r="A1032" s="3" t="s">
        <v>1</v>
      </c>
      <c r="B1032" s="3" t="s">
        <v>7</v>
      </c>
      <c r="C1032" s="3" t="s">
        <v>8</v>
      </c>
      <c r="D1032" s="5">
        <v>44914</v>
      </c>
      <c r="E1032" s="49">
        <v>421845</v>
      </c>
    </row>
    <row r="1033" spans="1:5">
      <c r="A1033" s="3" t="s">
        <v>1</v>
      </c>
      <c r="B1033" s="3" t="s">
        <v>7</v>
      </c>
      <c r="C1033" s="3" t="s">
        <v>9</v>
      </c>
      <c r="D1033" s="5">
        <v>44914</v>
      </c>
      <c r="E1033" s="49">
        <v>210907</v>
      </c>
    </row>
    <row r="1034" spans="1:5">
      <c r="A1034" s="3" t="s">
        <v>1</v>
      </c>
      <c r="B1034" s="3" t="s">
        <v>10</v>
      </c>
      <c r="C1034" s="3" t="s">
        <v>10</v>
      </c>
      <c r="D1034" s="5">
        <v>44914</v>
      </c>
      <c r="E1034" s="49">
        <v>1209611</v>
      </c>
    </row>
    <row r="1035" spans="1:5">
      <c r="A1035" s="3" t="s">
        <v>1</v>
      </c>
      <c r="B1035" s="3" t="s">
        <v>10</v>
      </c>
      <c r="C1035" s="3" t="s">
        <v>11</v>
      </c>
      <c r="D1035" s="5">
        <v>44914</v>
      </c>
      <c r="E1035" s="49">
        <v>1140883</v>
      </c>
    </row>
    <row r="1036" spans="1:5">
      <c r="A1036" s="3" t="s">
        <v>1</v>
      </c>
      <c r="B1036" s="3" t="s">
        <v>10</v>
      </c>
      <c r="C1036" s="3" t="s">
        <v>12</v>
      </c>
      <c r="D1036" s="5">
        <v>44914</v>
      </c>
      <c r="E1036" s="49">
        <v>215925</v>
      </c>
    </row>
    <row r="1037" spans="1:5">
      <c r="A1037" s="3" t="s">
        <v>1</v>
      </c>
      <c r="B1037" s="3" t="s">
        <v>13</v>
      </c>
      <c r="C1037" s="3" t="s">
        <v>13</v>
      </c>
      <c r="D1037" s="5">
        <v>44914</v>
      </c>
      <c r="E1037" s="49">
        <v>1160083</v>
      </c>
    </row>
    <row r="1038" spans="1:5">
      <c r="A1038" s="3" t="s">
        <v>1</v>
      </c>
      <c r="B1038" s="3" t="s">
        <v>13</v>
      </c>
      <c r="C1038" s="3" t="s">
        <v>14</v>
      </c>
      <c r="D1038" s="5">
        <v>44914</v>
      </c>
      <c r="E1038" s="49">
        <v>190544</v>
      </c>
    </row>
    <row r="1039" spans="1:5">
      <c r="A1039" s="3" t="s">
        <v>1</v>
      </c>
      <c r="B1039" s="3" t="s">
        <v>13</v>
      </c>
      <c r="C1039" s="3" t="s">
        <v>15</v>
      </c>
      <c r="D1039" s="5">
        <v>44914</v>
      </c>
      <c r="E1039" s="49"/>
    </row>
    <row r="1040" spans="1:5">
      <c r="A1040" s="3" t="s">
        <v>1</v>
      </c>
      <c r="B1040" s="3" t="s">
        <v>16</v>
      </c>
      <c r="C1040" s="3" t="s">
        <v>16</v>
      </c>
      <c r="D1040" s="5">
        <v>44914</v>
      </c>
      <c r="E1040" s="49">
        <v>345942</v>
      </c>
    </row>
    <row r="1041" spans="1:5">
      <c r="A1041" s="3" t="s">
        <v>1</v>
      </c>
      <c r="B1041" s="3" t="s">
        <v>86</v>
      </c>
      <c r="C1041" s="3" t="s">
        <v>86</v>
      </c>
      <c r="D1041" s="5">
        <v>44914</v>
      </c>
      <c r="E1041" s="49">
        <v>354976</v>
      </c>
    </row>
    <row r="1042" spans="1:5">
      <c r="A1042" s="3" t="s">
        <v>1</v>
      </c>
      <c r="B1042" s="3" t="s">
        <v>18</v>
      </c>
      <c r="C1042" s="3" t="s">
        <v>19</v>
      </c>
      <c r="D1042" s="5">
        <v>44914</v>
      </c>
      <c r="E1042" s="49">
        <v>332344</v>
      </c>
    </row>
    <row r="1043" spans="1:5">
      <c r="A1043" s="3" t="s">
        <v>20</v>
      </c>
      <c r="B1043" s="3" t="s">
        <v>2</v>
      </c>
      <c r="C1043" s="3" t="s">
        <v>2</v>
      </c>
      <c r="D1043" s="5">
        <v>44914</v>
      </c>
      <c r="E1043" s="49">
        <v>2363476</v>
      </c>
    </row>
    <row r="1044" spans="1:5">
      <c r="A1044" s="3" t="s">
        <v>20</v>
      </c>
      <c r="B1044" s="3" t="s">
        <v>2</v>
      </c>
      <c r="C1044" s="3" t="s">
        <v>21</v>
      </c>
      <c r="D1044" s="5">
        <v>44914</v>
      </c>
      <c r="E1044" s="49">
        <v>354144</v>
      </c>
    </row>
    <row r="1045" spans="1:5">
      <c r="A1045" s="3" t="s">
        <v>20</v>
      </c>
      <c r="B1045" s="3" t="s">
        <v>2</v>
      </c>
      <c r="C1045" s="3" t="s">
        <v>22</v>
      </c>
      <c r="D1045" s="5">
        <v>44914</v>
      </c>
      <c r="E1045" s="49">
        <v>311810</v>
      </c>
    </row>
    <row r="1046" spans="1:5">
      <c r="A1046" s="3" t="s">
        <v>20</v>
      </c>
      <c r="B1046" s="3" t="s">
        <v>2</v>
      </c>
      <c r="C1046" s="3" t="s">
        <v>23</v>
      </c>
      <c r="D1046" s="5">
        <v>44914</v>
      </c>
      <c r="E1046" s="49">
        <v>673097</v>
      </c>
    </row>
    <row r="1047" spans="1:5">
      <c r="A1047" s="3" t="s">
        <v>20</v>
      </c>
      <c r="B1047" s="3" t="s">
        <v>2</v>
      </c>
      <c r="C1047" s="3" t="s">
        <v>24</v>
      </c>
      <c r="D1047" s="5">
        <v>44914</v>
      </c>
      <c r="E1047" s="49">
        <v>21376</v>
      </c>
    </row>
    <row r="1048" spans="1:5">
      <c r="A1048" s="3" t="s">
        <v>20</v>
      </c>
      <c r="B1048" s="3" t="s">
        <v>3</v>
      </c>
      <c r="C1048" s="3" t="s">
        <v>3</v>
      </c>
      <c r="D1048" s="5">
        <v>44914</v>
      </c>
      <c r="E1048" s="49">
        <v>605430</v>
      </c>
    </row>
    <row r="1049" spans="1:5">
      <c r="A1049" s="3" t="s">
        <v>20</v>
      </c>
      <c r="B1049" s="3" t="s">
        <v>3</v>
      </c>
      <c r="C1049" s="3" t="s">
        <v>25</v>
      </c>
      <c r="D1049" s="5">
        <v>44914</v>
      </c>
      <c r="E1049" s="49">
        <v>32177</v>
      </c>
    </row>
    <row r="1050" spans="1:5">
      <c r="A1050" s="3" t="s">
        <v>20</v>
      </c>
      <c r="B1050" s="3" t="s">
        <v>7</v>
      </c>
      <c r="C1050" s="3" t="s">
        <v>7</v>
      </c>
      <c r="D1050" s="5">
        <v>44914</v>
      </c>
      <c r="E1050" s="49">
        <v>383931</v>
      </c>
    </row>
    <row r="1051" spans="1:5">
      <c r="A1051" s="3" t="s">
        <v>20</v>
      </c>
      <c r="B1051" s="3" t="s">
        <v>7</v>
      </c>
      <c r="C1051" s="3" t="s">
        <v>8</v>
      </c>
      <c r="D1051" s="5">
        <v>44914</v>
      </c>
      <c r="E1051" s="49">
        <v>3554289</v>
      </c>
    </row>
    <row r="1052" spans="1:5">
      <c r="A1052" s="3" t="s">
        <v>20</v>
      </c>
      <c r="B1052" s="3" t="s">
        <v>7</v>
      </c>
      <c r="C1052" s="3" t="s">
        <v>26</v>
      </c>
      <c r="D1052" s="5">
        <v>44914</v>
      </c>
      <c r="E1052" s="49">
        <v>39296</v>
      </c>
    </row>
    <row r="1053" spans="1:5">
      <c r="A1053" s="3" t="s">
        <v>20</v>
      </c>
      <c r="B1053" s="3" t="s">
        <v>10</v>
      </c>
      <c r="C1053" s="3" t="s">
        <v>10</v>
      </c>
      <c r="D1053" s="5">
        <v>44914</v>
      </c>
      <c r="E1053" s="49">
        <v>3927087</v>
      </c>
    </row>
    <row r="1054" spans="1:5">
      <c r="A1054" s="3" t="s">
        <v>20</v>
      </c>
      <c r="B1054" s="3" t="s">
        <v>10</v>
      </c>
      <c r="C1054" s="3" t="s">
        <v>27</v>
      </c>
      <c r="D1054" s="5">
        <v>44914</v>
      </c>
      <c r="E1054" s="49">
        <v>14462</v>
      </c>
    </row>
    <row r="1055" spans="1:5">
      <c r="A1055" s="3" t="s">
        <v>20</v>
      </c>
      <c r="B1055" s="3" t="s">
        <v>10</v>
      </c>
      <c r="C1055" s="3" t="s">
        <v>82</v>
      </c>
      <c r="D1055" s="5">
        <v>44914</v>
      </c>
      <c r="E1055" s="49">
        <v>63976</v>
      </c>
    </row>
    <row r="1056" spans="1:5">
      <c r="A1056" s="3" t="s">
        <v>20</v>
      </c>
      <c r="B1056" s="3" t="s">
        <v>13</v>
      </c>
      <c r="C1056" s="3" t="s">
        <v>13</v>
      </c>
      <c r="D1056" s="5">
        <v>44914</v>
      </c>
      <c r="E1056" s="49">
        <v>2047987</v>
      </c>
    </row>
    <row r="1057" spans="1:5">
      <c r="A1057" s="3" t="s">
        <v>20</v>
      </c>
      <c r="B1057" s="3" t="s">
        <v>13</v>
      </c>
      <c r="C1057" s="3" t="s">
        <v>81</v>
      </c>
      <c r="D1057" s="5">
        <v>44914</v>
      </c>
      <c r="E1057" s="49">
        <v>113726</v>
      </c>
    </row>
    <row r="1058" spans="1:5">
      <c r="A1058" s="3" t="s">
        <v>20</v>
      </c>
      <c r="B1058" s="3" t="s">
        <v>13</v>
      </c>
      <c r="C1058" s="3" t="s">
        <v>28</v>
      </c>
      <c r="D1058" s="5">
        <v>44914</v>
      </c>
      <c r="E1058" s="49"/>
    </row>
    <row r="1059" spans="1:5">
      <c r="A1059" s="3" t="s">
        <v>20</v>
      </c>
      <c r="B1059" s="3" t="s">
        <v>16</v>
      </c>
      <c r="C1059" s="3" t="s">
        <v>16</v>
      </c>
      <c r="D1059" s="5">
        <v>44914</v>
      </c>
      <c r="E1059" s="49">
        <v>258283</v>
      </c>
    </row>
    <row r="1060" spans="1:5">
      <c r="A1060" s="3" t="s">
        <v>20</v>
      </c>
      <c r="B1060" s="3" t="s">
        <v>16</v>
      </c>
      <c r="C1060" s="3" t="s">
        <v>29</v>
      </c>
      <c r="D1060" s="5">
        <v>44914</v>
      </c>
      <c r="E1060" s="49">
        <v>17042</v>
      </c>
    </row>
    <row r="1061" spans="1:5">
      <c r="A1061" s="3" t="s">
        <v>20</v>
      </c>
      <c r="B1061" s="3" t="s">
        <v>16</v>
      </c>
      <c r="C1061" s="3" t="s">
        <v>30</v>
      </c>
      <c r="D1061" s="5">
        <v>44914</v>
      </c>
      <c r="E1061" s="49">
        <v>12099</v>
      </c>
    </row>
    <row r="1062" spans="1:5">
      <c r="A1062" s="3" t="s">
        <v>20</v>
      </c>
      <c r="B1062" s="3" t="s">
        <v>16</v>
      </c>
      <c r="C1062" s="3" t="s">
        <v>31</v>
      </c>
      <c r="D1062" s="5">
        <v>44914</v>
      </c>
      <c r="E1062" s="49">
        <v>8767</v>
      </c>
    </row>
    <row r="1063" spans="1:5">
      <c r="A1063" s="3" t="s">
        <v>20</v>
      </c>
      <c r="B1063" s="3" t="s">
        <v>16</v>
      </c>
      <c r="C1063" s="3" t="s">
        <v>32</v>
      </c>
      <c r="D1063" s="5">
        <v>44914</v>
      </c>
      <c r="E1063" s="49">
        <v>9185</v>
      </c>
    </row>
    <row r="1064" spans="1:5">
      <c r="A1064" s="3" t="s">
        <v>20</v>
      </c>
      <c r="B1064" s="3" t="s">
        <v>16</v>
      </c>
      <c r="C1064" s="3" t="s">
        <v>33</v>
      </c>
      <c r="D1064" s="5">
        <v>44914</v>
      </c>
      <c r="E1064" s="49"/>
    </row>
    <row r="1065" spans="1:5">
      <c r="A1065" s="3" t="s">
        <v>20</v>
      </c>
      <c r="B1065" s="3" t="s">
        <v>86</v>
      </c>
      <c r="C1065" s="3" t="s">
        <v>86</v>
      </c>
      <c r="D1065" s="5">
        <v>44914</v>
      </c>
      <c r="E1065" s="49">
        <v>93878</v>
      </c>
    </row>
    <row r="1066" spans="1:5">
      <c r="A1066" s="3" t="s">
        <v>20</v>
      </c>
      <c r="B1066" s="3" t="s">
        <v>86</v>
      </c>
      <c r="C1066" s="3" t="s">
        <v>92</v>
      </c>
      <c r="D1066" s="5">
        <v>44914</v>
      </c>
      <c r="E1066" s="49">
        <v>8391</v>
      </c>
    </row>
    <row r="1067" spans="1:5">
      <c r="A1067" s="3" t="s">
        <v>20</v>
      </c>
      <c r="B1067" s="3" t="s">
        <v>86</v>
      </c>
      <c r="C1067" s="3" t="s">
        <v>93</v>
      </c>
      <c r="D1067" s="5">
        <v>44914</v>
      </c>
      <c r="E1067" s="49">
        <v>9584</v>
      </c>
    </row>
    <row r="1068" spans="1:5">
      <c r="A1068" s="3" t="s">
        <v>20</v>
      </c>
      <c r="B1068" s="3" t="s">
        <v>86</v>
      </c>
      <c r="C1068" s="3" t="s">
        <v>94</v>
      </c>
      <c r="D1068" s="5">
        <v>44914</v>
      </c>
      <c r="E1068" s="49">
        <v>9682</v>
      </c>
    </row>
    <row r="1069" spans="1:5">
      <c r="A1069" s="3" t="s">
        <v>20</v>
      </c>
      <c r="B1069" s="3" t="s">
        <v>86</v>
      </c>
      <c r="C1069" s="3" t="s">
        <v>95</v>
      </c>
      <c r="D1069" s="5">
        <v>44914</v>
      </c>
      <c r="E1069" s="49">
        <v>10787</v>
      </c>
    </row>
    <row r="1070" spans="1:5">
      <c r="A1070" s="3" t="s">
        <v>20</v>
      </c>
      <c r="B1070" s="3" t="s">
        <v>18</v>
      </c>
      <c r="C1070" s="3" t="s">
        <v>19</v>
      </c>
      <c r="D1070" s="5">
        <v>44914</v>
      </c>
      <c r="E1070" s="49">
        <v>402080</v>
      </c>
    </row>
    <row r="1071" spans="1:5">
      <c r="A1071" s="3" t="s">
        <v>20</v>
      </c>
      <c r="B1071" s="3" t="s">
        <v>18</v>
      </c>
      <c r="C1071" s="3" t="s">
        <v>38</v>
      </c>
      <c r="D1071" s="5">
        <v>44914</v>
      </c>
      <c r="E1071" s="49">
        <v>5832</v>
      </c>
    </row>
    <row r="1072" spans="1:5">
      <c r="A1072" s="3" t="s">
        <v>20</v>
      </c>
      <c r="B1072" s="3" t="s">
        <v>18</v>
      </c>
      <c r="C1072" s="3" t="s">
        <v>39</v>
      </c>
      <c r="D1072" s="5">
        <v>44914</v>
      </c>
      <c r="E1072" s="49">
        <v>402080</v>
      </c>
    </row>
    <row r="1073" spans="1:5">
      <c r="A1073" s="3" t="s">
        <v>20</v>
      </c>
      <c r="B1073" s="3" t="s">
        <v>18</v>
      </c>
      <c r="C1073" s="3" t="s">
        <v>40</v>
      </c>
      <c r="D1073" s="5">
        <v>44914</v>
      </c>
      <c r="E1073" s="49">
        <v>5204</v>
      </c>
    </row>
    <row r="1074" spans="1:5">
      <c r="A1074" s="3" t="s">
        <v>20</v>
      </c>
      <c r="B1074" s="3" t="s">
        <v>18</v>
      </c>
      <c r="C1074" s="3" t="s">
        <v>73</v>
      </c>
      <c r="D1074" s="5">
        <v>44914</v>
      </c>
      <c r="E1074" s="49">
        <v>996</v>
      </c>
    </row>
    <row r="1075" spans="1:5">
      <c r="A1075" s="3" t="s">
        <v>20</v>
      </c>
      <c r="B1075" s="3" t="s">
        <v>18</v>
      </c>
      <c r="C1075" s="3" t="s">
        <v>41</v>
      </c>
      <c r="D1075" s="5">
        <v>44914</v>
      </c>
      <c r="E1075" s="49">
        <v>13890</v>
      </c>
    </row>
    <row r="1076" spans="1:5">
      <c r="A1076" s="3" t="s">
        <v>42</v>
      </c>
      <c r="B1076" s="3" t="s">
        <v>2</v>
      </c>
      <c r="C1076" s="3" t="s">
        <v>2</v>
      </c>
      <c r="D1076" s="5">
        <v>44914</v>
      </c>
      <c r="E1076" s="49">
        <v>946352</v>
      </c>
    </row>
    <row r="1077" spans="1:5">
      <c r="A1077" s="3" t="s">
        <v>42</v>
      </c>
      <c r="B1077" s="3" t="s">
        <v>2</v>
      </c>
      <c r="C1077" s="3" t="s">
        <v>43</v>
      </c>
      <c r="D1077" s="5">
        <v>44914</v>
      </c>
      <c r="E1077" s="49">
        <v>563096</v>
      </c>
    </row>
    <row r="1078" spans="1:5">
      <c r="A1078" s="3" t="s">
        <v>42</v>
      </c>
      <c r="B1078" s="3" t="s">
        <v>2</v>
      </c>
      <c r="C1078" s="3" t="s">
        <v>83</v>
      </c>
      <c r="D1078" s="5">
        <v>44914</v>
      </c>
      <c r="E1078" s="49">
        <v>132979</v>
      </c>
    </row>
    <row r="1079" spans="1:5">
      <c r="A1079" s="3" t="s">
        <v>42</v>
      </c>
      <c r="B1079" s="3" t="s">
        <v>2</v>
      </c>
      <c r="C1079" s="3" t="s">
        <v>44</v>
      </c>
      <c r="D1079" s="5">
        <v>44914</v>
      </c>
      <c r="E1079" s="49">
        <v>138005</v>
      </c>
    </row>
    <row r="1080" spans="1:5">
      <c r="A1080" s="3" t="s">
        <v>42</v>
      </c>
      <c r="B1080" s="3" t="s">
        <v>2</v>
      </c>
      <c r="C1080" s="3" t="s">
        <v>45</v>
      </c>
      <c r="D1080" s="5">
        <v>44914</v>
      </c>
      <c r="E1080" s="49">
        <v>155328</v>
      </c>
    </row>
    <row r="1081" spans="1:5">
      <c r="A1081" s="3" t="s">
        <v>42</v>
      </c>
      <c r="B1081" s="3" t="s">
        <v>2</v>
      </c>
      <c r="C1081" s="3" t="s">
        <v>80</v>
      </c>
      <c r="D1081" s="5">
        <v>44914</v>
      </c>
      <c r="E1081" s="49">
        <v>17955</v>
      </c>
    </row>
    <row r="1082" spans="1:5">
      <c r="A1082" s="3" t="s">
        <v>42</v>
      </c>
      <c r="B1082" s="3" t="s">
        <v>3</v>
      </c>
      <c r="C1082" s="3" t="s">
        <v>3</v>
      </c>
      <c r="D1082" s="5">
        <v>44914</v>
      </c>
      <c r="E1082" s="49">
        <v>214923</v>
      </c>
    </row>
    <row r="1083" spans="1:5">
      <c r="A1083" s="3" t="s">
        <v>42</v>
      </c>
      <c r="B1083" s="3" t="s">
        <v>3</v>
      </c>
      <c r="C1083" s="3" t="s">
        <v>46</v>
      </c>
      <c r="D1083" s="5">
        <v>44914</v>
      </c>
      <c r="E1083" s="49">
        <v>117115</v>
      </c>
    </row>
    <row r="1084" spans="1:5">
      <c r="A1084" s="3" t="s">
        <v>42</v>
      </c>
      <c r="B1084" s="3" t="s">
        <v>3</v>
      </c>
      <c r="C1084" s="3" t="s">
        <v>4</v>
      </c>
      <c r="D1084" s="5">
        <v>44914</v>
      </c>
      <c r="E1084" s="49">
        <v>46925</v>
      </c>
    </row>
    <row r="1085" spans="1:5">
      <c r="A1085" s="3" t="s">
        <v>42</v>
      </c>
      <c r="B1085" s="3" t="s">
        <v>3</v>
      </c>
      <c r="C1085" s="3" t="s">
        <v>5</v>
      </c>
      <c r="D1085" s="5">
        <v>44914</v>
      </c>
      <c r="E1085" s="49">
        <v>3377</v>
      </c>
    </row>
    <row r="1086" spans="1:5">
      <c r="A1086" s="3" t="s">
        <v>42</v>
      </c>
      <c r="B1086" s="3" t="s">
        <v>3</v>
      </c>
      <c r="C1086" s="3" t="s">
        <v>47</v>
      </c>
      <c r="D1086" s="5">
        <v>44914</v>
      </c>
      <c r="E1086" s="49">
        <v>7060</v>
      </c>
    </row>
    <row r="1087" spans="1:5">
      <c r="A1087" s="3" t="s">
        <v>42</v>
      </c>
      <c r="B1087" s="3" t="s">
        <v>3</v>
      </c>
      <c r="C1087" s="3" t="s">
        <v>48</v>
      </c>
      <c r="D1087" s="5">
        <v>44914</v>
      </c>
      <c r="E1087" s="49">
        <v>6862</v>
      </c>
    </row>
    <row r="1088" spans="1:5">
      <c r="A1088" s="3" t="s">
        <v>42</v>
      </c>
      <c r="B1088" s="3" t="s">
        <v>3</v>
      </c>
      <c r="C1088" s="3" t="s">
        <v>49</v>
      </c>
      <c r="D1088" s="5">
        <v>44914</v>
      </c>
      <c r="E1088" s="49">
        <v>38914</v>
      </c>
    </row>
    <row r="1089" spans="1:5">
      <c r="A1089" s="3" t="s">
        <v>42</v>
      </c>
      <c r="B1089" s="3" t="s">
        <v>7</v>
      </c>
      <c r="C1089" s="3" t="s">
        <v>7</v>
      </c>
      <c r="D1089" s="5">
        <v>44914</v>
      </c>
      <c r="E1089" s="49">
        <v>397915</v>
      </c>
    </row>
    <row r="1090" spans="1:5">
      <c r="A1090" s="3" t="s">
        <v>42</v>
      </c>
      <c r="B1090" s="3" t="s">
        <v>7</v>
      </c>
      <c r="C1090" s="3" t="s">
        <v>50</v>
      </c>
      <c r="D1090" s="5">
        <v>44914</v>
      </c>
      <c r="E1090" s="49">
        <v>181526</v>
      </c>
    </row>
    <row r="1091" spans="1:5">
      <c r="A1091" s="3" t="s">
        <v>42</v>
      </c>
      <c r="B1091" s="3" t="s">
        <v>7</v>
      </c>
      <c r="C1091" s="3" t="s">
        <v>51</v>
      </c>
      <c r="D1091" s="5">
        <v>44914</v>
      </c>
      <c r="E1091" s="49">
        <v>145220</v>
      </c>
    </row>
    <row r="1092" spans="1:5">
      <c r="A1092" s="3" t="s">
        <v>42</v>
      </c>
      <c r="B1092" s="3" t="s">
        <v>10</v>
      </c>
      <c r="C1092" s="3" t="s">
        <v>10</v>
      </c>
      <c r="D1092" s="5">
        <v>44914</v>
      </c>
      <c r="E1092" s="49">
        <v>913985</v>
      </c>
    </row>
    <row r="1093" spans="1:5">
      <c r="A1093" s="3" t="s">
        <v>42</v>
      </c>
      <c r="B1093" s="3" t="s">
        <v>10</v>
      </c>
      <c r="C1093" s="3" t="s">
        <v>52</v>
      </c>
      <c r="D1093" s="5">
        <v>44914</v>
      </c>
      <c r="E1093" s="49">
        <v>39380</v>
      </c>
    </row>
    <row r="1094" spans="1:5">
      <c r="A1094" s="3" t="s">
        <v>42</v>
      </c>
      <c r="B1094" s="3" t="s">
        <v>10</v>
      </c>
      <c r="C1094" s="3" t="s">
        <v>53</v>
      </c>
      <c r="D1094" s="5">
        <v>44914</v>
      </c>
      <c r="E1094" s="49">
        <v>420762</v>
      </c>
    </row>
    <row r="1095" spans="1:5">
      <c r="A1095" s="3" t="s">
        <v>42</v>
      </c>
      <c r="B1095" s="3" t="s">
        <v>13</v>
      </c>
      <c r="C1095" s="3" t="s">
        <v>13</v>
      </c>
      <c r="D1095" s="5">
        <v>44914</v>
      </c>
      <c r="E1095" s="49">
        <v>344787</v>
      </c>
    </row>
    <row r="1096" spans="1:5">
      <c r="A1096" s="3" t="s">
        <v>42</v>
      </c>
      <c r="B1096" s="3" t="s">
        <v>13</v>
      </c>
      <c r="C1096" s="3" t="s">
        <v>54</v>
      </c>
      <c r="D1096" s="5">
        <v>44914</v>
      </c>
      <c r="E1096" s="49">
        <v>69443</v>
      </c>
    </row>
    <row r="1097" spans="1:5">
      <c r="A1097" s="3" t="s">
        <v>42</v>
      </c>
      <c r="B1097" s="3" t="s">
        <v>13</v>
      </c>
      <c r="C1097" s="3" t="s">
        <v>55</v>
      </c>
      <c r="D1097" s="5">
        <v>44914</v>
      </c>
      <c r="E1097" s="49"/>
    </row>
    <row r="1098" spans="1:5">
      <c r="A1098" s="3" t="s">
        <v>42</v>
      </c>
      <c r="B1098" s="3" t="s">
        <v>13</v>
      </c>
      <c r="C1098" s="3" t="s">
        <v>56</v>
      </c>
      <c r="D1098" s="5">
        <v>44914</v>
      </c>
      <c r="E1098" s="49">
        <v>21803</v>
      </c>
    </row>
    <row r="1099" spans="1:5">
      <c r="A1099" s="3" t="s">
        <v>42</v>
      </c>
      <c r="B1099" s="3" t="s">
        <v>13</v>
      </c>
      <c r="C1099" s="3" t="s">
        <v>57</v>
      </c>
      <c r="D1099" s="5">
        <v>44914</v>
      </c>
      <c r="E1099" s="49"/>
    </row>
    <row r="1100" spans="1:5">
      <c r="A1100" s="3" t="s">
        <v>42</v>
      </c>
      <c r="B1100" s="3" t="s">
        <v>16</v>
      </c>
      <c r="C1100" s="3" t="s">
        <v>58</v>
      </c>
      <c r="D1100" s="5">
        <v>44914</v>
      </c>
      <c r="E1100" s="49">
        <v>39061</v>
      </c>
    </row>
    <row r="1101" spans="1:5">
      <c r="A1101" s="3" t="s">
        <v>42</v>
      </c>
      <c r="B1101" s="3" t="s">
        <v>16</v>
      </c>
      <c r="C1101" s="3" t="s">
        <v>59</v>
      </c>
      <c r="D1101" s="5">
        <v>44914</v>
      </c>
      <c r="E1101" s="49">
        <v>45983</v>
      </c>
    </row>
    <row r="1102" spans="1:5">
      <c r="A1102" s="3" t="s">
        <v>42</v>
      </c>
      <c r="B1102" s="3" t="s">
        <v>16</v>
      </c>
      <c r="C1102" s="3" t="s">
        <v>60</v>
      </c>
      <c r="D1102" s="5">
        <v>44914</v>
      </c>
      <c r="E1102" s="49">
        <v>26257</v>
      </c>
    </row>
    <row r="1103" spans="1:5">
      <c r="A1103" s="3" t="s">
        <v>42</v>
      </c>
      <c r="B1103" s="3" t="s">
        <v>86</v>
      </c>
      <c r="C1103" s="3" t="s">
        <v>89</v>
      </c>
      <c r="D1103" s="5">
        <v>44914</v>
      </c>
      <c r="E1103" s="49">
        <v>13549</v>
      </c>
    </row>
    <row r="1104" spans="1:5">
      <c r="A1104" s="3" t="s">
        <v>42</v>
      </c>
      <c r="B1104" s="3" t="s">
        <v>18</v>
      </c>
      <c r="C1104" s="3" t="s">
        <v>18</v>
      </c>
      <c r="D1104" s="5">
        <v>44914</v>
      </c>
      <c r="E1104" s="49">
        <v>44676</v>
      </c>
    </row>
    <row r="1105" spans="1:5">
      <c r="A1105" s="3" t="s">
        <v>42</v>
      </c>
      <c r="B1105" s="3" t="s">
        <v>18</v>
      </c>
      <c r="C1105" s="3" t="s">
        <v>62</v>
      </c>
      <c r="D1105" s="5">
        <v>44914</v>
      </c>
      <c r="E1105" s="49">
        <v>12993</v>
      </c>
    </row>
    <row r="1106" spans="1:5">
      <c r="A1106" s="3" t="s">
        <v>42</v>
      </c>
      <c r="B1106" s="3" t="s">
        <v>18</v>
      </c>
      <c r="C1106" s="3" t="s">
        <v>63</v>
      </c>
      <c r="D1106" s="5">
        <v>44914</v>
      </c>
      <c r="E1106" s="49">
        <v>988</v>
      </c>
    </row>
    <row r="1107" spans="1:5">
      <c r="A1107" s="3" t="s">
        <v>79</v>
      </c>
      <c r="B1107" s="3" t="s">
        <v>2</v>
      </c>
      <c r="C1107" s="3" t="s">
        <v>64</v>
      </c>
      <c r="D1107" s="5">
        <v>44914</v>
      </c>
      <c r="E1107" s="49">
        <v>242077</v>
      </c>
    </row>
    <row r="1108" spans="1:5">
      <c r="A1108" s="3" t="s">
        <v>79</v>
      </c>
      <c r="B1108" s="3" t="s">
        <v>3</v>
      </c>
      <c r="C1108" s="3" t="s">
        <v>65</v>
      </c>
      <c r="D1108" s="5">
        <v>44914</v>
      </c>
      <c r="E1108" s="49">
        <v>135845</v>
      </c>
    </row>
    <row r="1109" spans="1:5">
      <c r="A1109" s="3" t="s">
        <v>79</v>
      </c>
      <c r="B1109" s="3" t="s">
        <v>3</v>
      </c>
      <c r="C1109" s="3" t="s">
        <v>66</v>
      </c>
      <c r="D1109" s="5">
        <v>44914</v>
      </c>
      <c r="E1109" s="49">
        <v>11486</v>
      </c>
    </row>
    <row r="1110" spans="1:5">
      <c r="A1110" s="3" t="s">
        <v>79</v>
      </c>
      <c r="B1110" s="3" t="s">
        <v>3</v>
      </c>
      <c r="C1110" s="3" t="s">
        <v>67</v>
      </c>
      <c r="D1110" s="5">
        <v>44914</v>
      </c>
      <c r="E1110" s="49">
        <v>12819</v>
      </c>
    </row>
    <row r="1111" spans="1:5">
      <c r="A1111" s="3" t="s">
        <v>79</v>
      </c>
      <c r="B1111" s="3" t="s">
        <v>3</v>
      </c>
      <c r="C1111" s="3" t="s">
        <v>68</v>
      </c>
      <c r="D1111" s="5">
        <v>44914</v>
      </c>
      <c r="E1111" s="49">
        <v>30329</v>
      </c>
    </row>
    <row r="1112" spans="1:5">
      <c r="A1112" s="3" t="s">
        <v>79</v>
      </c>
      <c r="B1112" s="3" t="s">
        <v>7</v>
      </c>
      <c r="C1112" s="3" t="s">
        <v>69</v>
      </c>
      <c r="D1112" s="5">
        <v>44914</v>
      </c>
      <c r="E1112" s="49">
        <v>254795</v>
      </c>
    </row>
    <row r="1113" spans="1:5">
      <c r="A1113" s="3" t="s">
        <v>79</v>
      </c>
      <c r="B1113" s="3" t="s">
        <v>10</v>
      </c>
      <c r="C1113" s="3" t="s">
        <v>53</v>
      </c>
      <c r="D1113" s="5">
        <v>44914</v>
      </c>
      <c r="E1113" s="49">
        <v>105592</v>
      </c>
    </row>
    <row r="1114" spans="1:5">
      <c r="A1114" s="3" t="s">
        <v>79</v>
      </c>
      <c r="B1114" s="3" t="s">
        <v>10</v>
      </c>
      <c r="C1114" s="3" t="s">
        <v>10</v>
      </c>
      <c r="D1114" s="5">
        <v>44914</v>
      </c>
      <c r="E1114" s="49">
        <v>114859</v>
      </c>
    </row>
    <row r="1115" spans="1:5">
      <c r="A1115" s="3" t="s">
        <v>79</v>
      </c>
      <c r="B1115" s="3" t="s">
        <v>13</v>
      </c>
      <c r="C1115" s="3" t="s">
        <v>70</v>
      </c>
      <c r="D1115" s="5">
        <v>44914</v>
      </c>
      <c r="E1115" s="49">
        <v>124049</v>
      </c>
    </row>
    <row r="1116" spans="1:5">
      <c r="A1116" s="3" t="s">
        <v>79</v>
      </c>
      <c r="B1116" s="3" t="s">
        <v>16</v>
      </c>
      <c r="C1116" s="3" t="s">
        <v>16</v>
      </c>
      <c r="D1116" s="5">
        <v>44914</v>
      </c>
      <c r="E1116" s="49">
        <v>29708</v>
      </c>
    </row>
    <row r="1117" spans="1:5">
      <c r="A1117" s="3" t="s">
        <v>79</v>
      </c>
      <c r="B1117" s="3" t="s">
        <v>86</v>
      </c>
      <c r="C1117" s="3" t="s">
        <v>86</v>
      </c>
      <c r="D1117" s="5">
        <v>44914</v>
      </c>
      <c r="E1117" s="49">
        <v>43515</v>
      </c>
    </row>
    <row r="1118" spans="1:5">
      <c r="A1118" s="3" t="s">
        <v>79</v>
      </c>
      <c r="B1118" s="3" t="s">
        <v>18</v>
      </c>
      <c r="C1118" s="3" t="s">
        <v>72</v>
      </c>
      <c r="D1118" s="5">
        <v>44914</v>
      </c>
      <c r="E1118" s="49">
        <v>43143</v>
      </c>
    </row>
  </sheetData>
  <hyperlinks>
    <hyperlink ref="E95" r:id="rId1" display="https://www.instagram.com/usbank/followers/" xr:uid="{A7BE7D79-BAAF-4E82-B242-41D3A325ECF0}"/>
    <hyperlink ref="E155" r:id="rId2" display="https://twitter.com/capitalonejobs/followers" xr:uid="{0D91E3CE-DD1F-41EB-B4F8-D4C367A961EF}"/>
    <hyperlink ref="E157" r:id="rId3" display="https://twitter.com/capitalonenews/followers" xr:uid="{E924CC2B-35E4-4536-B30A-AFCD44D108A1}"/>
    <hyperlink ref="E168" r:id="rId4" display="https://twitter.com/WFInvesting/followers" xr:uid="{84F22826-5276-4FDE-9E1A-AC9718CC1855}"/>
    <hyperlink ref="E156" r:id="rId5" display="https://twitter.com/CapitalOneTech/followers" xr:uid="{553345CA-3E27-4FE5-9804-E8665A053A63}"/>
    <hyperlink ref="E172" r:id="rId6" display="https://twitter.com/PNCNews/followers" xr:uid="{19897ABF-B880-4494-80F7-DFCE5A3053CA}"/>
    <hyperlink ref="E174" r:id="rId7" display="https://twitter.com/AskSunTrust/followers" xr:uid="{4F2E8646-C503-492E-8C86-4D888D441B0F}"/>
    <hyperlink ref="E160" r:id="rId8" display="https://twitter.com/ChaseforBiz/followers" xr:uid="{DECC8B0E-72C6-42EE-8D59-2D26FCC825BA}"/>
    <hyperlink ref="E163" r:id="rId9" display="https://twitter.com/AskCiti/followers" xr:uid="{EDAD2954-BA4C-404B-8F84-4B8D55A621CA}"/>
    <hyperlink ref="E164" r:id="rId10" display="https://twitter.com/Citibank/followers" xr:uid="{978C708A-3870-4A18-B29D-65BACBBC9483}"/>
    <hyperlink ref="E166" r:id="rId11" display="https://twitter.com/Ask_WellsFargo/followers" xr:uid="{1088E007-CB80-4E7E-BDED-C0C9D6FF707A}"/>
    <hyperlink ref="E175" r:id="rId12" display="https://twitter.com/usbank/followers" xr:uid="{4D030826-49C5-476C-92B6-4934539A000A}"/>
    <hyperlink ref="E176" r:id="rId13" display="https://twitter.com/AskUSBank/followers" xr:uid="{D70121AC-8510-4050-B956-C000A12565F7}"/>
    <hyperlink ref="E178" r:id="rId14" display="https://www.instagram.com/bankofamerica/followers/" xr:uid="{194D176C-E14A-4E33-915E-BC0843CB1924}"/>
    <hyperlink ref="E179" r:id="rId15" display="https://www.instagram.com/capitalone/followers/" xr:uid="{ADD24673-F0E1-4FAD-AF44-E3CCCD2F3CD1}"/>
    <hyperlink ref="E184" r:id="rId16" display="https://www.instagram.com/citibank/followers/" xr:uid="{5A85840F-414E-497F-9960-3BA021CF65FF}"/>
    <hyperlink ref="E185" r:id="rId17" display="https://www.instagram.com/citi/followers/" xr:uid="{A9974CAB-B63F-4F7F-9548-9B1E56F801A6}"/>
    <hyperlink ref="E186" r:id="rId18" display="https://www.instagram.com/wellsfargo/followers/" xr:uid="{8BBB936B-6DD3-4159-95FD-1E0E9571F311}"/>
    <hyperlink ref="E187" r:id="rId19" display="https://www.instagram.com/pncbank/followers/" xr:uid="{C432E330-D948-42CA-A598-4A2D55330D01}"/>
    <hyperlink ref="E188" r:id="rId20" display="https://www.instagram.com/suntrust/followers/" xr:uid="{15B0E978-94C7-43CC-B747-63E6EA509D61}"/>
    <hyperlink ref="E189" r:id="rId21" display="https://www.instagram.com/usbank/followers/" xr:uid="{FFED4CB9-99E3-48E7-9F1E-C0970F3A19FB}"/>
    <hyperlink ref="E146" r:id="rId22" display="https://twitter.com/BankofAmerica/followers" xr:uid="{A2D6F295-7FE9-4E27-8F06-8F4345BAE539}"/>
    <hyperlink ref="E147" r:id="rId23" display="https://twitter.com/BofA_News/followers" xr:uid="{4714518E-CA8A-4C12-B6C3-8223C90452E9}"/>
    <hyperlink ref="E148" r:id="rId24" display="https://twitter.com/BofA_Help/followers" xr:uid="{C17B6448-0FE1-4355-BBB5-61C873B49871}"/>
    <hyperlink ref="E149" r:id="rId25" display="https://twitter.com/BofA_Business/followers" xr:uid="{7D94C614-812C-4F69-B1A2-EA4E0764E5EA}"/>
    <hyperlink ref="E150" r:id="rId26" display="https://twitter.com/BofA_Tips/followers" xr:uid="{7884E178-6827-456B-BB5F-11D2BEDB8535}"/>
    <hyperlink ref="E151" r:id="rId27" display="https://twitter.com/BofAPrivateBank/followers" xr:uid="{23AD98D2-EE97-463C-976D-A54619730D3E}"/>
    <hyperlink ref="E152" r:id="rId28" display="https://twitter.com/CapitalOne/followers" xr:uid="{84D1971B-2E9A-414A-BDDD-E7FC72C97F7D}"/>
    <hyperlink ref="E154" r:id="rId29" display="https://twitter.com/CapitalOneCafe/followers" xr:uid="{175D4CF3-CFBF-44A6-B196-B003D8A7E7F9}"/>
    <hyperlink ref="E158" r:id="rId30" display="https://twitter.com/CapitalOneBiz/followers" xr:uid="{13E4248D-C626-4FB5-A069-B3C377EF3EE1}"/>
    <hyperlink ref="E159" r:id="rId31" display="https://twitter.com/Chase/followers" xr:uid="{8B016D18-6294-4331-8C85-5485A36639D2}"/>
    <hyperlink ref="E161" r:id="rId32" display="https://twitter.com/ChaseSupport/followers" xr:uid="{822EE196-9048-4872-B598-30E7BFFA99AD}"/>
    <hyperlink ref="E162" r:id="rId33" display="https://twitter.com/Citi/followers" xr:uid="{05641CB4-AD5E-41C6-8FB3-A4DB648ED1C4}"/>
    <hyperlink ref="E165" r:id="rId34" display="https://twitter.com/WellsFargo/followers" xr:uid="{1D1A4372-E215-47FF-BF27-14509F578C19}"/>
    <hyperlink ref="E170" r:id="rId35" display="https://twitter.com/PNCBank/followers" xr:uid="{F22F23ED-8AC8-4AF6-B4FA-866EB93130C5}"/>
    <hyperlink ref="E171" r:id="rId36" display="https://twitter.com/PNCBank_Help/followers" xr:uid="{276D6BA7-A604-479C-802E-E195E1726AAF}"/>
    <hyperlink ref="E180" r:id="rId37" display="https://www.instagram.com/capitalonecareers/followers/" xr:uid="{0A4D7777-406F-45A3-9788-859A84990D70}"/>
    <hyperlink ref="E181" r:id="rId38" display="https://www.instagram.com/capitalonecafe/followers/" xr:uid="{8FFA045F-F9B2-4E33-B4BB-C8DD82599341}"/>
    <hyperlink ref="E182" r:id="rId39" display="https://www.instagram.com/capitalonebusiness/followers/" xr:uid="{ED140304-18DD-41B7-8DB6-BAA3CE2D3D4F}"/>
    <hyperlink ref="E183" r:id="rId40" display="https://www.instagram.com/citibank/followers/" xr:uid="{1CF3AAB5-55F8-48DA-A900-81C51DBE1A2A}"/>
    <hyperlink ref="E249" r:id="rId41" display="https://twitter.com/capitalonejobs/followers" xr:uid="{B3ECAFF5-BBC5-4017-9F7D-19B047BDB2AD}"/>
    <hyperlink ref="E251" r:id="rId42" display="https://twitter.com/capitalonenews/followers" xr:uid="{F7FD9043-4C64-44AC-9DC2-928EEC3EF222}"/>
    <hyperlink ref="E262" r:id="rId43" display="https://twitter.com/WFInvesting/followers" xr:uid="{4FBD9125-E3FA-4C51-A5AA-26E0FF1D4F71}"/>
    <hyperlink ref="E250" r:id="rId44" display="https://twitter.com/CapitalOneTech/followers" xr:uid="{8F258D3C-17FB-4B1B-A685-6B1775F7D926}"/>
    <hyperlink ref="E266" r:id="rId45" display="https://twitter.com/PNCNews/followers" xr:uid="{8CE6172E-4147-4589-B040-B74A062A07AD}"/>
    <hyperlink ref="E254" r:id="rId46" display="https://twitter.com/ChaseforBiz/followers" xr:uid="{4CE40A93-CAD4-439E-8BB1-52063EE1893E}"/>
    <hyperlink ref="E257" r:id="rId47" display="https://twitter.com/AskCiti/followers" xr:uid="{B3DE6ADD-A116-49BE-82F3-8DC80111886C}"/>
    <hyperlink ref="E258" r:id="rId48" display="https://twitter.com/Citibank/followers" xr:uid="{F0A9D997-BAA6-4F01-B999-EFB9424C8936}"/>
    <hyperlink ref="E260" r:id="rId49" display="https://twitter.com/Ask_WellsFargo/followers" xr:uid="{8D3C8FE1-4737-4BEB-B51B-346D6A8B6AE6}"/>
    <hyperlink ref="E268" r:id="rId50" display="https://twitter.com/usbank/followers" xr:uid="{A301D8F7-D3C7-43C5-B3CB-E2CB31A1FFAA}"/>
    <hyperlink ref="E269" r:id="rId51" display="https://twitter.com/AskUSBank/followers" xr:uid="{0623BA01-589C-4E3C-BF93-2F3FC694B179}"/>
    <hyperlink ref="E271" r:id="rId52" display="https://www.instagram.com/bankofamerica/followers/" xr:uid="{E39E58C3-D11D-4593-ACE7-788EF5212B39}"/>
    <hyperlink ref="E272" r:id="rId53" display="https://www.instagram.com/capitalone/followers/" xr:uid="{114429D9-BA00-4983-9005-58A60D5DBD03}"/>
    <hyperlink ref="E277" r:id="rId54" display="https://www.instagram.com/citibank/followers/" xr:uid="{15106758-D83E-4C01-8688-FED40AD0BE2F}"/>
    <hyperlink ref="E278" r:id="rId55" display="https://www.instagram.com/citi/followers/" xr:uid="{E6D41870-12E9-4E88-A1FF-EA07CDF8BF32}"/>
    <hyperlink ref="E279" r:id="rId56" display="https://www.instagram.com/wellsfargo/followers/" xr:uid="{2CF1C0A0-6980-4FBF-95D8-F6361E5593D7}"/>
    <hyperlink ref="E280" r:id="rId57" display="https://www.instagram.com/pncbank/followers/" xr:uid="{7BC40D7F-9602-4406-B4D8-BB2E07906B15}"/>
    <hyperlink ref="E281" r:id="rId58" display="https://www.instagram.com/suntrust/followers/" xr:uid="{A85DC11F-1AFB-4820-9609-9E3416A38C34}"/>
    <hyperlink ref="E282" r:id="rId59" display="https://www.instagram.com/usbank/followers/" xr:uid="{D52BC677-093E-411D-81DA-C04FA3F7D530}"/>
    <hyperlink ref="E240" r:id="rId60" display="https://twitter.com/BankofAmerica/followers" xr:uid="{FABF310E-7845-48A0-B6EE-276AB3B138A2}"/>
    <hyperlink ref="E241" r:id="rId61" display="https://twitter.com/BofA_News/followers" xr:uid="{FCF6D661-E8A7-4E09-A043-AC037B501016}"/>
    <hyperlink ref="E242" r:id="rId62" display="https://twitter.com/BofA_Help/followers" xr:uid="{513DDE5D-D9F1-427A-A0B3-0E6723C94D8A}"/>
    <hyperlink ref="E243" r:id="rId63" display="https://twitter.com/BofA_Business/followers" xr:uid="{DA3D3002-255F-41A0-876F-466E02E7E671}"/>
    <hyperlink ref="E244" r:id="rId64" display="https://twitter.com/BofA_Tips/followers" xr:uid="{6CF3E90A-81F2-440C-9D6D-D7AFAF47D2C7}"/>
    <hyperlink ref="E245" r:id="rId65" display="https://twitter.com/BofAPrivateBank/followers" xr:uid="{9142B7AA-0376-4124-A653-30D18365FD1C}"/>
    <hyperlink ref="E246" r:id="rId66" display="https://twitter.com/CapitalOne/followers" xr:uid="{F9F3CFD2-1431-47BC-916F-E2869412ABF2}"/>
    <hyperlink ref="E248" r:id="rId67" display="https://twitter.com/CapitalOneCafe/followers" xr:uid="{E1B9FBAA-9B85-4A2E-9B62-DA9A44A65756}"/>
    <hyperlink ref="E252" r:id="rId68" display="https://twitter.com/CapitalOneBiz/followers" xr:uid="{5C2B6A1D-9E06-4318-A325-F724C836F4BA}"/>
    <hyperlink ref="E253" r:id="rId69" display="https://twitter.com/Chase/followers" xr:uid="{5780C5DE-EE84-49E4-8335-0E903C81C9FC}"/>
    <hyperlink ref="E255" r:id="rId70" display="https://twitter.com/ChaseSupport/followers" xr:uid="{D900F02C-74DE-44AD-893E-AB79710BDC17}"/>
    <hyperlink ref="E256" r:id="rId71" display="https://twitter.com/Citi/followers" xr:uid="{7ADB9C5E-1D97-42B5-9670-F36ADD36D877}"/>
    <hyperlink ref="E259" r:id="rId72" display="https://twitter.com/WellsFargo/followers" xr:uid="{0FB69170-3358-486C-9E87-403B0C9849A5}"/>
    <hyperlink ref="E264" r:id="rId73" display="https://twitter.com/PNCBank/followers" xr:uid="{A9721686-698D-4D3F-A0EA-933621990CDF}"/>
    <hyperlink ref="E265" r:id="rId74" display="https://twitter.com/PNCBank_Help/followers" xr:uid="{1632634C-4579-4388-AF4A-71853165748C}"/>
    <hyperlink ref="E273" r:id="rId75" display="https://www.instagram.com/capitalonecareers/followers/" xr:uid="{2EB6DB5A-9F7D-4EE3-9C7F-C7FFC4833DC2}"/>
    <hyperlink ref="E274" r:id="rId76" display="https://www.instagram.com/capitalonecafe/followers/" xr:uid="{50870BB2-6438-4567-8FD8-15C979E8C298}"/>
    <hyperlink ref="E275" r:id="rId77" display="https://www.instagram.com/capitalonebusiness/followers/" xr:uid="{64BC4DDE-5CE1-469F-B374-F56A3A8521FA}"/>
    <hyperlink ref="E276" r:id="rId78" display="https://www.instagram.com/citibank/followers/" xr:uid="{A082ACF9-322F-4DFC-8D6B-65F15EBDA618}"/>
    <hyperlink ref="E364" r:id="rId79" display="https://www.instagram.com/bankofamerica/followers/" xr:uid="{D8CD04E4-A7F0-463D-95C3-4B9FCB47D415}"/>
    <hyperlink ref="E365" r:id="rId80" display="https://www.instagram.com/capitalone/followers/" xr:uid="{85DE070C-EB82-4540-B33E-AA5800537CF1}"/>
    <hyperlink ref="E372" r:id="rId81" display="https://www.instagram.com/wellsfargo/followers/" xr:uid="{060E77DC-4904-4E73-8988-839092E5F65F}"/>
    <hyperlink ref="E373" r:id="rId82" display="https://www.instagram.com/pncbank/followers/" xr:uid="{C40302FA-FBD6-4D7B-A74E-3CDBC2B8D611}"/>
    <hyperlink ref="E374" r:id="rId83" display="https://www.instagram.com/suntrust/followers/" xr:uid="{BAFEC515-638C-4FF3-8142-EB5E380ADA12}"/>
    <hyperlink ref="E375" r:id="rId84" display="https://www.instagram.com/usbank/followers/" xr:uid="{2ECABDD0-93F7-4EB9-B01F-107A4B7C57CC}"/>
    <hyperlink ref="E333" r:id="rId85" display="https://twitter.com/BankofAmerica/followers" xr:uid="{82634667-F100-4C97-B072-6AF64541DB85}"/>
    <hyperlink ref="E334" r:id="rId86" display="https://twitter.com/BofA_News/followers" xr:uid="{67FC2F32-7E95-4A06-AD82-F82A9A56B8A6}"/>
    <hyperlink ref="E335" r:id="rId87" display="https://twitter.com/BofA_Help/followers" xr:uid="{C495DB06-7866-4AB5-A05E-BB04D92944BF}"/>
    <hyperlink ref="E336" r:id="rId88" display="https://twitter.com/BofA_Business/followers" xr:uid="{8FC6F8CB-BA2C-4070-A2CC-D5E2B0F1EAD1}"/>
    <hyperlink ref="E337" r:id="rId89" display="https://twitter.com/BofA_Tips/followers" xr:uid="{8B0EB998-4FCB-4A46-92F2-3962B1FEF317}"/>
    <hyperlink ref="E338" r:id="rId90" display="https://twitter.com/BofAPrivateBank/followers" xr:uid="{4ECF3624-E229-43C9-AC2D-438C212139F9}"/>
    <hyperlink ref="E339" r:id="rId91" display="https://twitter.com/CapitalOne/followers" xr:uid="{60A6DA34-C320-4CCE-9477-969DAE3B98BF}"/>
    <hyperlink ref="E340" r:id="rId92" display="https://twitter.com/AskCapitalOne/followers" xr:uid="{6F257767-EF30-49A7-82E5-18A0C4FBCFE2}"/>
    <hyperlink ref="E341" r:id="rId93" display="https://twitter.com/CapitalOneCafe/followers" xr:uid="{6CAD5EE9-3021-4116-BC23-A6B35C2CC3FF}"/>
    <hyperlink ref="E342" r:id="rId94" display="https://twitter.com/capitalonejobs/followers" xr:uid="{DD154898-340B-44FF-B18E-AD5558FBB442}"/>
    <hyperlink ref="E343" r:id="rId95" display="https://twitter.com/CapitalOneTech/followers" xr:uid="{604AF118-0C06-4B9F-8AB9-B22AF56D5C67}"/>
    <hyperlink ref="E344" r:id="rId96" display="https://twitter.com/capitalonenews/followers" xr:uid="{41D0107B-66DA-4209-B5EB-4CF9FEEB01DD}"/>
    <hyperlink ref="E346" r:id="rId97" display="https://twitter.com/Chase/followers" xr:uid="{E25B9180-63A0-45BE-890A-D7804FE750C4}"/>
    <hyperlink ref="E347" r:id="rId98" display="https://twitter.com/ChaseforBiz/followers" xr:uid="{574F48A1-DA23-4047-AA51-7B413E2699A8}"/>
    <hyperlink ref="E348" r:id="rId99" display="https://twitter.com/ChaseSupport/followers" xr:uid="{A2D5393D-5F69-46E0-96DB-771EEFD88B15}"/>
    <hyperlink ref="E352" r:id="rId100" display="https://twitter.com/WellsFargo/followers" xr:uid="{98A6D03B-BFF2-4F42-9E12-080B5F42A090}"/>
    <hyperlink ref="E353" r:id="rId101" display="https://twitter.com/Ask_WellsFargo/followers" xr:uid="{2F7DA9CD-2891-4DE0-B783-D105D8E58E89}"/>
    <hyperlink ref="E355" r:id="rId102" display="https://twitter.com/WFInvesting/followers" xr:uid="{D025FB11-E6A9-4642-8115-99038D4960D1}"/>
    <hyperlink ref="E357" r:id="rId103" display="https://twitter.com/PNCBank/followers" xr:uid="{7C7C2B26-63A3-4E3A-846F-9B8F6CAC1FD1}"/>
    <hyperlink ref="E358" r:id="rId104" display="https://twitter.com/PNCBank_Help/followers" xr:uid="{0FF4C27B-1F28-4BDB-BAB9-F0DE223A0C72}"/>
    <hyperlink ref="E359" r:id="rId105" display="https://twitter.com/PNCNews/followers" xr:uid="{8665F5F6-3A0F-4A2E-8448-642C93F01261}"/>
    <hyperlink ref="E360" r:id="rId106" display="https://twitter.com/TruistNews/followers" xr:uid="{DFD3B600-0E56-46C4-A777-9CE8B2CA09AD}"/>
    <hyperlink ref="E362" r:id="rId107" display="https://twitter.com/AskUSBank/followers" xr:uid="{3CE40D93-E9DE-470F-B52B-10EBBA9DEC7B}"/>
    <hyperlink ref="E366" r:id="rId108" display="https://www.instagram.com/capitalonecareers/followers/" xr:uid="{6FFF3F41-1DE8-4EAC-A581-6CD791B324D1}"/>
    <hyperlink ref="E367" r:id="rId109" display="https://www.instagram.com/capitalonecafe/followers/" xr:uid="{59F9C962-2C3A-4786-A0D9-B436E5031335}"/>
    <hyperlink ref="E368" r:id="rId110" display="https://www.instagram.com/capitalonebusiness/followers/" xr:uid="{6F839781-A67C-4A72-A8D2-2432C244C609}"/>
    <hyperlink ref="E369" r:id="rId111" display="https://www.instagram.com/chase/followers/" xr:uid="{B877D8F2-D0FD-41D4-B442-94ABC7E81441}"/>
    <hyperlink ref="E458" r:id="rId112" display="https://www.instagram.com/capitalone/followers/" xr:uid="{08B9C191-1013-4779-BCFE-DFD04FA7506D}"/>
    <hyperlink ref="E465" r:id="rId113" display="https://www.instagram.com/wellsfargo/followers/" xr:uid="{2D18DC32-1C17-45A7-A8E2-07D93882C11F}"/>
    <hyperlink ref="E466" r:id="rId114" display="https://www.instagram.com/pncbank/followers/" xr:uid="{40128C52-9ACC-441C-AE79-4C89426B149F}"/>
    <hyperlink ref="E467" r:id="rId115" display="https://www.instagram.com/suntrust/followers/" xr:uid="{A7AE985E-F255-497A-8C44-7F2436502C38}"/>
    <hyperlink ref="E468" r:id="rId116" display="https://www.instagram.com/usbank/followers/" xr:uid="{CC1611D9-C89E-4241-92F3-6B0C4E7BB066}"/>
    <hyperlink ref="E428" r:id="rId117" display="https://twitter.com/BofA_Help/followers" xr:uid="{A6532C89-32BE-4448-A8FA-593870495578}"/>
    <hyperlink ref="E426" r:id="rId118" display="https://twitter.com/BankofAmerica/followers" xr:uid="{115963A6-9906-45B1-B3EB-27E6865FAF5A}"/>
    <hyperlink ref="E427" r:id="rId119" display="https://twitter.com/BofA_News/followers" xr:uid="{F2678888-DAEA-4115-8572-D80C1FBB54C7}"/>
    <hyperlink ref="E429" r:id="rId120" display="https://twitter.com/BofA_Business/followers" xr:uid="{1B302FC5-CEF3-41D7-BBBF-783695F3E24F}"/>
    <hyperlink ref="E430" r:id="rId121" display="https://twitter.com/BofA_Tips/followers" xr:uid="{1B1F3B37-9800-4C9F-A8D4-1AC85FEE30D7}"/>
    <hyperlink ref="E431" r:id="rId122" display="https://twitter.com/BofAPrivateBank/followers" xr:uid="{965A547D-EE11-4C1C-8A53-86B4C405B491}"/>
    <hyperlink ref="E432" r:id="rId123" display="https://twitter.com/CapitalOne/followers" xr:uid="{BCD911B1-B8DB-43FE-83EE-7ECB0A292930}"/>
    <hyperlink ref="E433" r:id="rId124" display="https://twitter.com/AskCapitalOne/followers" xr:uid="{4CD1C82A-6816-4D6F-A140-A9824E433A1A}"/>
    <hyperlink ref="E434" r:id="rId125" display="https://twitter.com/CapitalOneCafe/followers" xr:uid="{13C45366-A28B-448F-9A8E-A2048B0FB8A5}"/>
    <hyperlink ref="E435" r:id="rId126" display="https://twitter.com/capitalonejobs/followers" xr:uid="{A2395678-2692-4203-B170-49469B6A4B4B}"/>
    <hyperlink ref="E436" r:id="rId127" display="https://twitter.com/CapitalOneTech/followers" xr:uid="{3EC11FA5-F11D-4D21-99C8-8884D10DDCA8}"/>
    <hyperlink ref="E437" r:id="rId128" display="https://twitter.com/capitalonenews/followers" xr:uid="{9E56FB16-12C1-4438-BF3C-BD4B7C3B4891}"/>
    <hyperlink ref="E438" r:id="rId129" display="https://twitter.com/CapitalOneBiz/followers" xr:uid="{FD2B86CF-849F-4A80-B6B8-3FE7832B32F4}"/>
    <hyperlink ref="E439" r:id="rId130" display="https://twitter.com/Chase/followers" xr:uid="{A678A6AC-D4AB-4CF6-AF32-17A806AC10F8}"/>
    <hyperlink ref="E440" r:id="rId131" display="https://twitter.com/ChaseforBiz/followers" xr:uid="{3E73BA60-113F-4DDF-A3CA-3B0FE34CF438}"/>
    <hyperlink ref="E441" r:id="rId132" display="https://twitter.com/ChaseSupport/followers" xr:uid="{E6A376DA-EA07-4805-9BAB-4BF38E109D01}"/>
    <hyperlink ref="E445" r:id="rId133" display="https://twitter.com/WellsFargo/followers" xr:uid="{7756874B-BEB0-4C85-ADA5-E31B2E0E696F}"/>
    <hyperlink ref="E446" r:id="rId134" display="https://twitter.com/Ask_WellsFargo/followers" xr:uid="{5EBD1902-B8D1-4454-833E-5737C150A98C}"/>
    <hyperlink ref="E448" r:id="rId135" display="https://twitter.com/WFInvesting/followers" xr:uid="{CB0DE66D-E40E-47CD-89FE-99761EC134C5}"/>
    <hyperlink ref="E450" r:id="rId136" display="https://twitter.com/PNCBank/followers" xr:uid="{4C6EDBD6-4E60-46DC-B6D9-4078AD514810}"/>
    <hyperlink ref="E451" r:id="rId137" display="https://twitter.com/PNCBank_Help/followers" xr:uid="{BED846E3-2888-42D9-B30F-F824A4250DD4}"/>
    <hyperlink ref="E452" r:id="rId138" display="https://twitter.com/PNCNews/followers" xr:uid="{7769681B-06F2-4118-8658-FD84C5EAE19A}"/>
    <hyperlink ref="E453" r:id="rId139" display="https://twitter.com/TruistNews/followers" xr:uid="{906FA6B2-AC07-42F6-9483-5CA31AFA0877}"/>
    <hyperlink ref="E454" r:id="rId140" display="https://twitter.com/usbank/followers" xr:uid="{D4CA7BE1-3F1A-410B-9003-CE41237F53F3}"/>
    <hyperlink ref="E455" r:id="rId141" display="https://twitter.com/AskUSBank/followers" xr:uid="{B6256674-617D-445D-9C52-E9C6A8F7E207}"/>
    <hyperlink ref="E457" r:id="rId142" display="https://www.instagram.com/bankofamerica/followers/" xr:uid="{D26A338D-3E1D-4EF4-901B-E6A325FCEE63}"/>
    <hyperlink ref="E459" r:id="rId143" display="https://www.instagram.com/capitalonecareers/followers/" xr:uid="{B11D04F6-FA24-437C-958D-BD56EDD35799}"/>
    <hyperlink ref="E460" r:id="rId144" display="https://www.instagram.com/capitalonecafe/followers/" xr:uid="{59EA96CB-E445-455B-896A-7420E80C6DCB}"/>
    <hyperlink ref="E461" r:id="rId145" display="https://www.instagram.com/capitalonebusiness/followers/" xr:uid="{ABA715F3-F632-4046-A280-5241DF088BCC}"/>
    <hyperlink ref="E462" r:id="rId146" display="https://www.instagram.com/chase/followers/" xr:uid="{00CA38D7-6185-4E7E-A025-28EED99B94FA}"/>
    <hyperlink ref="E560" r:id="rId147" display="https://www.instagram.com/truist/followers/" xr:uid="{9E57E28F-61A6-4210-85F3-60AD961A4F70}"/>
    <hyperlink ref="E559" r:id="rId148" display="https://www.instagram.com/pncbank/followers/" xr:uid="{C4EF8C08-86A4-4202-9F03-05421CBBD145}"/>
    <hyperlink ref="E558" r:id="rId149" display="https://www.instagram.com/wellsfargo/followers/" xr:uid="{CC0E5D17-9BE2-4FDE-BDE5-FFAFA37305EB}"/>
    <hyperlink ref="E555" r:id="rId150" display="https://www.instagram.com/chase/followers/" xr:uid="{F4152C40-7D2A-4B27-93BB-923784E72C94}"/>
    <hyperlink ref="E554" r:id="rId151" display="https://www.instagram.com/capitalonebusiness/followers/" xr:uid="{0047D159-EEBD-4DE3-9E9F-D01CFD043868}"/>
    <hyperlink ref="E553" r:id="rId152" display="https://www.instagram.com/capitalonecafe/followers/" xr:uid="{06C4A04D-FFC9-4D37-9047-CBC03142773F}"/>
    <hyperlink ref="E552" r:id="rId153" display="https://www.instagram.com/capitalonecareers/followers/" xr:uid="{5D80CD67-2190-4919-92CD-012878D0AE92}"/>
    <hyperlink ref="E551" r:id="rId154" display="https://www.instagram.com/capitalone/followers/" xr:uid="{63A2E9C2-8827-47AD-8C74-9D0EFB81CF83}"/>
    <hyperlink ref="E550" r:id="rId155" display="https://www.instagram.com/bankofamerica/followers/" xr:uid="{9FD11528-6EC1-42CA-9B19-6DABE6B1B41E}"/>
    <hyperlink ref="E549" r:id="rId156" display="https://twitter.com/USBankPayments/followers" xr:uid="{C22C309C-8758-450B-84DA-CDC5329D50B4}"/>
    <hyperlink ref="E547" r:id="rId157" display="https://twitter.com/usbank/followers" xr:uid="{0A7F5E67-8A40-49DC-94BC-86F9011ADFBD}"/>
    <hyperlink ref="E546" r:id="rId158" display="https://twitter.com/TruistNews/followers" xr:uid="{B47D3701-38BB-4EF8-9E56-0A0C2D0DBCDB}"/>
    <hyperlink ref="E545" r:id="rId159" display="https://twitter.com/PNCNews/followers" xr:uid="{4F5AD77C-68A1-46B1-ACC7-A2DD255817D8}"/>
    <hyperlink ref="E543" r:id="rId160" display="https://twitter.com/PNCBank/followers" xr:uid="{2567139A-0335-4888-9DBF-A30C2972F90F}"/>
    <hyperlink ref="E539" r:id="rId161" display="https://twitter.com/Ask_WellsFargo/followers" xr:uid="{76C6EE60-E5AD-4474-BCF0-C0D2ABCEE3A7}"/>
    <hyperlink ref="E538" r:id="rId162" display="https://twitter.com/WellsFargo/followers" xr:uid="{13AA5B1A-70F8-4F59-80C1-C2AB864956A1}"/>
    <hyperlink ref="E533" r:id="rId163" display="https://twitter.com/ChaseforBiz/followers" xr:uid="{6BAEEA92-343A-4BA7-827E-470AB333A82C}"/>
    <hyperlink ref="E532" r:id="rId164" display="https://twitter.com/Chase/followers" xr:uid="{FA5508E7-5955-4A12-AFBD-E9B874B6BCD3}"/>
    <hyperlink ref="E531" r:id="rId165" display="https://twitter.com/CapitalOneBiz/followers" xr:uid="{6A67C267-0FD9-480E-8AF8-CF7BFDA9CA77}"/>
    <hyperlink ref="E530" r:id="rId166" display="https://twitter.com/capitalonenews/followers" xr:uid="{7BD59BD5-6833-4580-9F17-F30A5498E5A0}"/>
    <hyperlink ref="E529" r:id="rId167" display="https://twitter.com/CapitalOneTech/followers" xr:uid="{21080EF2-A066-42D0-AF78-98AFE7D39D5F}"/>
    <hyperlink ref="E528" r:id="rId168" display="https://twitter.com/capitalonejobs/followers" xr:uid="{9783DBA3-1082-4030-A3A3-D6F56CF86AFC}"/>
    <hyperlink ref="E527" r:id="rId169" display="https://twitter.com/CapitalOneCafe/followers" xr:uid="{6289BF52-F198-41BE-97DB-4DA18B578E6E}"/>
    <hyperlink ref="E526" r:id="rId170" display="https://twitter.com/AskCapitalOne/followers" xr:uid="{406FAE35-EE8D-4E59-B251-1F674AD93F95}"/>
    <hyperlink ref="E525" r:id="rId171" display="https://twitter.com/CapitalOne/followers" xr:uid="{E4E3CCA4-5027-4B64-B486-B7BD91CBBC48}"/>
    <hyperlink ref="E523" r:id="rId172" display="https://twitter.com/BofA_Tips/followers" xr:uid="{1E4394D1-61CD-46C4-8F51-B64B2538DA29}"/>
    <hyperlink ref="E522" r:id="rId173" display="https://twitter.com/BofA_Business/followers" xr:uid="{1619AEDA-9DC5-43CE-83D4-66A1444C8CE7}"/>
    <hyperlink ref="E521" r:id="rId174" display="https://twitter.com/BofA_Help/followers" xr:uid="{4F8C4762-9787-49AF-965D-E109B0AEAE80}"/>
    <hyperlink ref="E520" r:id="rId175" display="https://twitter.com/BofA_News/followers" xr:uid="{F279C90E-449D-4194-ACB0-253B97C7EF09}"/>
    <hyperlink ref="E519" r:id="rId176" display="https://twitter.com/BankofAmerica/followers" xr:uid="{CFC9BB0A-607B-4C5B-A11F-2BB1B119FF9D}"/>
    <hyperlink ref="E541" r:id="rId177" display="https://twitter.com/WFInvesting/followers" xr:uid="{86CA246D-9BFC-4246-A485-F36EBC720E21}"/>
    <hyperlink ref="E535" r:id="rId178" display="https://twitter.com/Citi/followers" xr:uid="{ED66C544-4346-4F19-95E5-2C7DA22155FD}"/>
    <hyperlink ref="E537" r:id="rId179" display="https://twitter.com/Citibank/followers" xr:uid="{C9A53219-5AF3-4FB0-8C44-4100B4941128}"/>
    <hyperlink ref="E556" r:id="rId180" display="https://www.instagram.com/citibank/followers/" xr:uid="{94A5AEEA-32ED-4D0D-B265-C527B6283908}"/>
    <hyperlink ref="E557" r:id="rId181" display="https://www.instagram.com/citi/followers/" xr:uid="{B5021935-F0A1-40B9-ACE9-6CE61AD81B0E}"/>
    <hyperlink ref="E464" r:id="rId182" display="https://www.instagram.com/citi/followers/" xr:uid="{FB42D579-6D47-443D-8911-125494F5EA04}"/>
    <hyperlink ref="E463" r:id="rId183" display="https://www.instagram.com/citibank/followers/" xr:uid="{3EDE0329-7D0C-490D-9401-4534D0C7C381}"/>
    <hyperlink ref="E444" r:id="rId184" display="https://twitter.com/Citibank/followers" xr:uid="{A9852F29-4DD2-4831-8713-E8D11F3B84CB}"/>
    <hyperlink ref="E443" r:id="rId185" display="https://twitter.com/AskCiti/followers" xr:uid="{5658D38B-E4E5-4B8F-B13D-99EFC5A61C26}"/>
    <hyperlink ref="E442" r:id="rId186" display="https://twitter.com/Citi/followers" xr:uid="{50D122FC-40BB-43C4-B7D6-67DCB65537D7}"/>
    <hyperlink ref="E351" r:id="rId187" display="https://twitter.com/Citibank/followers" xr:uid="{A6E40D12-8370-415B-8325-2D0AAF2DF516}"/>
    <hyperlink ref="E350" r:id="rId188" display="https://twitter.com/AskCiti/followers" xr:uid="{145E477D-F7C9-4D73-8889-DA9AC0EFF79B}"/>
    <hyperlink ref="E349" r:id="rId189" display="https://twitter.com/Citi/followers" xr:uid="{28C33B44-0F3E-44D4-AB60-597B948565C8}"/>
    <hyperlink ref="E371" r:id="rId190" display="https://www.instagram.com/citi/followers/" xr:uid="{1A67BA87-3B1F-49F3-B630-BAAF958008BE}"/>
    <hyperlink ref="E370" r:id="rId191" display="https://www.instagram.com/citibank/followers/" xr:uid="{CF2CB1A7-1F14-4705-ACAD-AFBEB1B7DBB9}"/>
    <hyperlink ref="E806" r:id="rId192" display="https://twitter.com/capitalonejobs/followers" xr:uid="{673EDCBA-6E89-4C80-A305-16121C46A84E}"/>
    <hyperlink ref="E807" r:id="rId193" display="https://twitter.com/CapitalOneTech/followers" xr:uid="{8D7BC0A1-A95B-41B7-8502-7D026B59CB9F}"/>
    <hyperlink ref="E94" r:id="rId194" display="https://www.instagram.com/suntrust/followers/" xr:uid="{8DBEBDDF-0ACA-47D3-B894-2B981646FFEE}"/>
    <hyperlink ref="E93" r:id="rId195" display="https://www.instagram.com/pncbank/followers/" xr:uid="{791DB031-E6DB-4FD2-A7AB-D045A2C0D6A3}"/>
    <hyperlink ref="E92" r:id="rId196" display="https://www.instagram.com/wellsfargo/followers/" xr:uid="{CDDAAA19-FE9F-4C3C-997C-B2BB88A340D0}"/>
    <hyperlink ref="E91" r:id="rId197" display="https://www.instagram.com/citi/followers/" xr:uid="{47C2583F-C2AE-421B-BEBE-8C4684C0E3F3}"/>
    <hyperlink ref="E90" r:id="rId198" display="https://www.instagram.com/citibank/followers/" xr:uid="{3A7F7AE1-9B6C-4CE5-BB4D-73723903494F}"/>
    <hyperlink ref="E86" r:id="rId199" display="https://www.instagram.com/capitalonecareers/followers/" xr:uid="{C4ECA455-ED28-47A8-A188-E1191FB729C6}"/>
    <hyperlink ref="E85" r:id="rId200" display="https://www.instagram.com/capitalone/followers/" xr:uid="{B9B12388-4A8E-4122-9577-17B341F74FF7}"/>
    <hyperlink ref="E84" r:id="rId201" display="https://www.instagram.com/bankofamerica/followers/" xr:uid="{EBE5187A-1BF2-483F-B541-A02A588B9464}"/>
    <hyperlink ref="E82" r:id="rId202" display="https://twitter.com/AskUSBank/followers" xr:uid="{554976E9-7D9C-43F9-A876-9F5C9B137258}"/>
    <hyperlink ref="E81" r:id="rId203" display="https://twitter.com/usbank/followers" xr:uid="{1B97593F-0B24-483C-A107-A8419F73FEE3}"/>
    <hyperlink ref="E77" r:id="rId204" display="https://twitter.com/PNCBank_Help/followers" xr:uid="{4A6C97D4-D4C8-4F1A-87FC-816604BC45A5}"/>
    <hyperlink ref="E76" r:id="rId205" display="https://twitter.com/PNCBank/followers" xr:uid="{52EAEA9F-2A56-42D7-A0EE-86E74F24270E}"/>
    <hyperlink ref="E72" r:id="rId206" display="https://twitter.com/Ask_WellsFargo/followers" xr:uid="{BAFEFA44-B016-4197-97F8-1E8F242C7C63}"/>
    <hyperlink ref="E71" r:id="rId207" display="https://twitter.com/WellsFargo/followers" xr:uid="{978A86F1-99BB-4401-90D3-C40D660609C8}"/>
    <hyperlink ref="E70" r:id="rId208" display="https://twitter.com/Citibank/followers" xr:uid="{F5BCC3C7-1801-4391-9392-F8DACD421ACF}"/>
    <hyperlink ref="E69" r:id="rId209" display="https://twitter.com/AskCiti/followers" xr:uid="{12C9D706-A0F6-4B1C-B753-3E5BE04DABA1}"/>
    <hyperlink ref="E68" r:id="rId210" display="https://twitter.com/Citi/followers" xr:uid="{4DFFF9EF-66DE-45B1-84E4-D649EEFC187B}"/>
    <hyperlink ref="E67" r:id="rId211" display="https://twitter.com/ChaseSupport/followers" xr:uid="{C030B2BA-B747-4565-B194-E95FE8989B1D}"/>
    <hyperlink ref="E66" r:id="rId212" display="https://twitter.com/ChaseforBiz/followers" xr:uid="{55DAEC49-27A9-445C-996B-7DE951251638}"/>
    <hyperlink ref="E65" r:id="rId213" display="https://twitter.com/Chase/followers" xr:uid="{C589EB5D-2759-4455-A503-7CFA7FAA0558}"/>
    <hyperlink ref="E58" r:id="rId214" display="https://twitter.com/CapitalOne/followers" xr:uid="{07D0A374-DF9F-42F2-8482-5B4D1D92969B}"/>
    <hyperlink ref="E56" r:id="rId215" display="https://twitter.com/BofA_Tips/followers" xr:uid="{82193500-18D5-4778-A4D2-71467B865CE9}"/>
    <hyperlink ref="E55" r:id="rId216" display="https://twitter.com/BofA_Business/followers" xr:uid="{C0E41587-A54F-498A-A91C-F3FF2F562A5D}"/>
    <hyperlink ref="E54" r:id="rId217" display="https://twitter.com/BofA_Help/followers" xr:uid="{FE561B22-F842-4895-9FF6-8FE06F6EEB56}"/>
    <hyperlink ref="E53" r:id="rId218" display="https://twitter.com/BofA_News/followers" xr:uid="{3D755FB6-1ECA-4C4E-A896-EB54AFA907D0}"/>
    <hyperlink ref="E52" r:id="rId219" display="https://twitter.com/BankofAmerica/followers" xr:uid="{052E2EEE-5C8D-4F89-9E81-B57EE0296F66}"/>
    <hyperlink ref="E89" r:id="rId220" display="https://www.instagram.com/chase/followers/" xr:uid="{ADFBC61A-EE47-44E8-B0AD-FB966A9C5459}"/>
    <hyperlink ref="E88" r:id="rId221" display="https://www.instagram.com/capitalonebusiness/followers/" xr:uid="{149CAF11-9DE2-4480-80B1-EE23FD47B76F}"/>
    <hyperlink ref="E87" r:id="rId222" display="https://www.instagram.com/capitalonecafe/followers/" xr:uid="{AE52EA9F-12CE-4C3F-B5F9-0787EA968669}"/>
    <hyperlink ref="E80" r:id="rId223" display="https://twitter.com/AskSunTrust/followers" xr:uid="{EDFD4160-795C-4C08-B56C-0231942162D6}"/>
    <hyperlink ref="E78" r:id="rId224" display="https://twitter.com/PNCNews/followers" xr:uid="{4D8D06B5-3251-4277-B0E4-522A1F1D8E7E}"/>
    <hyperlink ref="E62" r:id="rId225" display="https://twitter.com/CapitalOneTech/followers" xr:uid="{0BD1649F-DD37-4920-BF05-1729584EF682}"/>
    <hyperlink ref="E60" r:id="rId226" display="https://twitter.com/CapitalOneCafe/followers" xr:uid="{85DF42C3-FD86-4332-A6EA-73BF73236289}"/>
    <hyperlink ref="E59" r:id="rId227" display="https://twitter.com/AskCapitalOne/followers" xr:uid="{4001BBBE-25AF-46B1-A72C-502A65DF96DC}"/>
    <hyperlink ref="E57" r:id="rId228" display="https://twitter.com/BofAPrivateBank/followers" xr:uid="{805AA139-259A-4831-B838-285FE382B1BC}"/>
    <hyperlink ref="E74" r:id="rId229" display="https://twitter.com/WFInvesting/followers" xr:uid="{6B706491-FB47-4BA2-AA5A-E756835AC312}"/>
    <hyperlink ref="E64" r:id="rId230" display="https://twitter.com/CapitalOneBiz/followers" xr:uid="{23C64A48-8ACF-4B25-8E1A-BDB464789350}"/>
    <hyperlink ref="E63" r:id="rId231" display="https://twitter.com/capitalonenews/followers" xr:uid="{D17D7CC5-F58F-48AB-98CF-9BE0D740A61B}"/>
    <hyperlink ref="E61" r:id="rId232" display="https://twitter.com/capitalonejobs/followers" xr:uid="{32F57635-FE13-4AF6-981D-71379B17AC67}"/>
  </hyperlinks>
  <pageMargins left="0.7" right="0.7" top="0.75" bottom="0.75" header="0.3" footer="0.3"/>
  <pageSetup orientation="portrait" horizontalDpi="4294967295" verticalDpi="4294967295" r:id="rId233"/>
  <tableParts count="1">
    <tablePart r:id="rId23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171B-C2BD-4536-935A-673CE279DCBB}">
  <sheetPr codeName="Sheet2"/>
  <dimension ref="A1:M17"/>
  <sheetViews>
    <sheetView workbookViewId="0">
      <selection activeCell="E1" sqref="E1"/>
    </sheetView>
  </sheetViews>
  <sheetFormatPr defaultRowHeight="12.5"/>
  <cols>
    <col min="1" max="1" width="13" bestFit="1" customWidth="1"/>
    <col min="2" max="2" width="15.81640625" bestFit="1" customWidth="1"/>
    <col min="3" max="3" width="18.1796875" bestFit="1" customWidth="1"/>
    <col min="4" max="4" width="8.81640625" bestFit="1" customWidth="1"/>
    <col min="5" max="5" width="14.81640625" customWidth="1"/>
    <col min="6" max="6" width="11.08984375" bestFit="1" customWidth="1"/>
    <col min="7" max="7" width="11" bestFit="1" customWidth="1"/>
    <col min="8" max="8" width="13" bestFit="1" customWidth="1"/>
    <col min="9" max="9" width="15.81640625" bestFit="1" customWidth="1"/>
    <col min="10" max="10" width="6.81640625" bestFit="1" customWidth="1"/>
    <col min="11" max="11" width="14.36328125" bestFit="1" customWidth="1"/>
    <col min="12" max="12" width="13" bestFit="1" customWidth="1"/>
    <col min="13" max="13" width="15.81640625" bestFit="1" customWidth="1"/>
    <col min="14" max="14" width="7.81640625" bestFit="1" customWidth="1"/>
    <col min="15" max="15" width="8.81640625" bestFit="1" customWidth="1"/>
    <col min="16" max="16" width="13.08984375" bestFit="1" customWidth="1"/>
    <col min="17" max="17" width="8.453125" bestFit="1" customWidth="1"/>
    <col min="18" max="20" width="7.81640625" bestFit="1" customWidth="1"/>
    <col min="21" max="21" width="11.7265625" bestFit="1" customWidth="1"/>
    <col min="22" max="22" width="11.08984375" bestFit="1" customWidth="1"/>
    <col min="23" max="23" width="9.6328125" bestFit="1" customWidth="1"/>
    <col min="24" max="24" width="18.90625" bestFit="1" customWidth="1"/>
    <col min="25" max="25" width="13" bestFit="1" customWidth="1"/>
    <col min="26" max="26" width="17.54296875" bestFit="1" customWidth="1"/>
    <col min="27" max="27" width="13.90625" bestFit="1" customWidth="1"/>
    <col min="28" max="28" width="16.1796875" bestFit="1" customWidth="1"/>
    <col min="29" max="29" width="8.81640625" bestFit="1" customWidth="1"/>
    <col min="30" max="30" width="17.6328125" bestFit="1" customWidth="1"/>
    <col min="31" max="31" width="18.36328125" bestFit="1" customWidth="1"/>
    <col min="32" max="32" width="14.26953125" bestFit="1" customWidth="1"/>
    <col min="33" max="33" width="8.81640625" bestFit="1" customWidth="1"/>
    <col min="34" max="34" width="10.90625" bestFit="1" customWidth="1"/>
    <col min="35" max="35" width="15.1796875" bestFit="1" customWidth="1"/>
    <col min="36" max="36" width="7.81640625" bestFit="1" customWidth="1"/>
    <col min="37" max="37" width="10.81640625" bestFit="1" customWidth="1"/>
    <col min="38" max="38" width="7.36328125" bestFit="1" customWidth="1"/>
    <col min="39" max="39" width="20.90625" bestFit="1" customWidth="1"/>
    <col min="40" max="40" width="11.6328125" bestFit="1" customWidth="1"/>
    <col min="41" max="41" width="12" bestFit="1" customWidth="1"/>
    <col min="42" max="42" width="7.81640625" bestFit="1" customWidth="1"/>
    <col min="43" max="43" width="9.453125" bestFit="1" customWidth="1"/>
    <col min="44" max="44" width="13.90625" bestFit="1" customWidth="1"/>
    <col min="45" max="45" width="21.36328125" bestFit="1" customWidth="1"/>
    <col min="46" max="46" width="26.08984375" bestFit="1" customWidth="1"/>
    <col min="47" max="47" width="32.54296875" bestFit="1" customWidth="1"/>
    <col min="48" max="48" width="15.6328125" bestFit="1" customWidth="1"/>
    <col min="49" max="49" width="9.7265625" bestFit="1" customWidth="1"/>
    <col min="50" max="50" width="23.36328125" bestFit="1" customWidth="1"/>
    <col min="51" max="51" width="30.7265625" bestFit="1" customWidth="1"/>
    <col min="52" max="52" width="23.26953125" bestFit="1" customWidth="1"/>
    <col min="53" max="53" width="25.36328125" bestFit="1" customWidth="1"/>
    <col min="54" max="54" width="8.81640625" bestFit="1" customWidth="1"/>
    <col min="55" max="55" width="31.36328125" bestFit="1" customWidth="1"/>
    <col min="56" max="56" width="27.26953125" bestFit="1" customWidth="1"/>
    <col min="57" max="57" width="6.81640625" bestFit="1" customWidth="1"/>
    <col min="58" max="58" width="10.54296875" bestFit="1" customWidth="1"/>
    <col min="59" max="59" width="37.81640625" bestFit="1" customWidth="1"/>
    <col min="60" max="60" width="27.7265625" bestFit="1" customWidth="1"/>
    <col min="61" max="61" width="9.26953125" bestFit="1" customWidth="1"/>
    <col min="62" max="62" width="41.6328125" bestFit="1" customWidth="1"/>
    <col min="63" max="63" width="33.81640625" bestFit="1" customWidth="1"/>
    <col min="64" max="64" width="28.08984375" bestFit="1" customWidth="1"/>
    <col min="65" max="65" width="31.81640625" bestFit="1" customWidth="1"/>
    <col min="66" max="66" width="8.1796875" bestFit="1" customWidth="1"/>
    <col min="67" max="67" width="7.08984375" bestFit="1" customWidth="1"/>
    <col min="68" max="68" width="11" bestFit="1" customWidth="1"/>
    <col min="69" max="69" width="18.26953125" bestFit="1" customWidth="1"/>
    <col min="70" max="70" width="19.26953125" bestFit="1" customWidth="1"/>
    <col min="71" max="71" width="28.81640625" bestFit="1" customWidth="1"/>
    <col min="72" max="72" width="19.81640625" bestFit="1" customWidth="1"/>
    <col min="73" max="73" width="18.453125" bestFit="1" customWidth="1"/>
    <col min="74" max="74" width="25.54296875" bestFit="1" customWidth="1"/>
    <col min="75" max="75" width="41.54296875" bestFit="1" customWidth="1"/>
    <col min="76" max="76" width="10" bestFit="1" customWidth="1"/>
    <col min="77" max="77" width="11.08984375" bestFit="1" customWidth="1"/>
  </cols>
  <sheetData>
    <row r="1" spans="1:13">
      <c r="B1" s="45">
        <f>A4</f>
        <v>44589</v>
      </c>
      <c r="C1" s="45">
        <f ca="1">OFFSET(A4,COUNTA(A4:A29)-2,)</f>
        <v>44914</v>
      </c>
      <c r="E1" t="str">
        <f ca="1">B2&amp;" to "&amp;C2</f>
        <v>Jan to Dec</v>
      </c>
    </row>
    <row r="2" spans="1:13">
      <c r="B2" t="str">
        <f>TEXT(B1,"mmm")</f>
        <v>Jan</v>
      </c>
      <c r="C2" t="str">
        <f ca="1">TEXT(C1,"mmm")</f>
        <v>Dec</v>
      </c>
    </row>
    <row r="3" spans="1:13">
      <c r="A3" s="9" t="s">
        <v>90</v>
      </c>
      <c r="B3" t="s">
        <v>96</v>
      </c>
    </row>
    <row r="4" spans="1:13">
      <c r="A4" s="14">
        <v>44589</v>
      </c>
      <c r="B4" s="12">
        <v>30555683</v>
      </c>
      <c r="E4" s="20"/>
      <c r="H4" s="9" t="s">
        <v>90</v>
      </c>
      <c r="I4" t="s">
        <v>96</v>
      </c>
      <c r="L4" s="9" t="s">
        <v>90</v>
      </c>
      <c r="M4" t="s">
        <v>96</v>
      </c>
    </row>
    <row r="5" spans="1:13">
      <c r="A5" s="14">
        <v>44617</v>
      </c>
      <c r="B5" s="12">
        <v>30713261</v>
      </c>
      <c r="H5" s="14">
        <v>44589</v>
      </c>
      <c r="I5" s="12">
        <v>30555683</v>
      </c>
      <c r="L5" s="13" t="s">
        <v>1</v>
      </c>
      <c r="M5" s="23">
        <v>0.45391105787436342</v>
      </c>
    </row>
    <row r="6" spans="1:13">
      <c r="A6" s="14">
        <v>44645</v>
      </c>
      <c r="B6" s="12">
        <v>31752268</v>
      </c>
      <c r="H6" s="14">
        <v>44617</v>
      </c>
      <c r="I6" s="12">
        <v>30713261</v>
      </c>
      <c r="L6" s="13" t="s">
        <v>79</v>
      </c>
      <c r="M6" s="23">
        <v>2.5169980038616712E-2</v>
      </c>
    </row>
    <row r="7" spans="1:13">
      <c r="A7" s="14">
        <v>44679</v>
      </c>
      <c r="B7" s="12">
        <v>31985641</v>
      </c>
      <c r="H7" s="14">
        <v>44645</v>
      </c>
      <c r="I7" s="12">
        <v>31752268</v>
      </c>
      <c r="L7" s="13" t="s">
        <v>20</v>
      </c>
      <c r="M7" s="23">
        <v>0.38219993931137253</v>
      </c>
    </row>
    <row r="8" spans="1:13">
      <c r="A8" s="14">
        <v>44708</v>
      </c>
      <c r="B8" s="12">
        <v>32878455</v>
      </c>
      <c r="H8" s="14">
        <v>44679</v>
      </c>
      <c r="I8" s="12">
        <v>31985641</v>
      </c>
      <c r="L8" s="13" t="s">
        <v>42</v>
      </c>
      <c r="M8" s="23">
        <v>0.13871902277564735</v>
      </c>
    </row>
    <row r="9" spans="1:13">
      <c r="A9" s="14">
        <v>44739</v>
      </c>
      <c r="B9" s="12">
        <v>32426768</v>
      </c>
      <c r="H9" s="14">
        <v>44708</v>
      </c>
      <c r="I9" s="12">
        <v>32878455</v>
      </c>
      <c r="L9" s="13" t="s">
        <v>91</v>
      </c>
      <c r="M9" s="22">
        <v>1</v>
      </c>
    </row>
    <row r="10" spans="1:13">
      <c r="A10" s="14">
        <v>44771</v>
      </c>
      <c r="B10" s="12">
        <v>32693312</v>
      </c>
      <c r="H10" s="14">
        <v>44739</v>
      </c>
      <c r="I10" s="12">
        <v>32426768</v>
      </c>
    </row>
    <row r="11" spans="1:13">
      <c r="A11" s="14">
        <v>44802</v>
      </c>
      <c r="B11" s="12">
        <v>33324291</v>
      </c>
      <c r="H11" s="14">
        <v>44771</v>
      </c>
      <c r="I11" s="12">
        <v>32693312</v>
      </c>
    </row>
    <row r="12" spans="1:13">
      <c r="A12" s="14">
        <v>44834</v>
      </c>
      <c r="B12" s="12">
        <v>33627178</v>
      </c>
      <c r="H12" s="14">
        <v>44802</v>
      </c>
      <c r="I12" s="12">
        <v>33324291</v>
      </c>
    </row>
    <row r="13" spans="1:13">
      <c r="A13" s="14">
        <v>44862</v>
      </c>
      <c r="B13" s="12">
        <v>33896726</v>
      </c>
      <c r="H13" s="14">
        <v>44834</v>
      </c>
      <c r="I13" s="12">
        <v>33627178</v>
      </c>
    </row>
    <row r="14" spans="1:13">
      <c r="A14" s="14">
        <v>44893</v>
      </c>
      <c r="B14" s="12">
        <v>34082498</v>
      </c>
      <c r="H14" s="14">
        <v>44862</v>
      </c>
      <c r="I14" s="12">
        <v>33896726</v>
      </c>
    </row>
    <row r="15" spans="1:13">
      <c r="A15" s="14">
        <v>44914</v>
      </c>
      <c r="B15" s="12">
        <v>34206582</v>
      </c>
      <c r="H15" s="14">
        <v>44893</v>
      </c>
      <c r="I15" s="12">
        <v>34082498</v>
      </c>
    </row>
    <row r="16" spans="1:13">
      <c r="A16" s="10" t="s">
        <v>91</v>
      </c>
      <c r="B16" s="12">
        <v>392142663</v>
      </c>
      <c r="H16" s="14">
        <v>44914</v>
      </c>
      <c r="I16" s="12">
        <v>34206582</v>
      </c>
    </row>
    <row r="17" spans="8:9">
      <c r="H17" s="10" t="s">
        <v>91</v>
      </c>
      <c r="I17" s="12">
        <v>392142663</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3FFBC-3CFD-4CCC-9D58-6907DB7AF998}">
  <dimension ref="A1:Z44"/>
  <sheetViews>
    <sheetView zoomScale="98" zoomScaleNormal="98" workbookViewId="0">
      <selection activeCell="D24" sqref="D24"/>
    </sheetView>
  </sheetViews>
  <sheetFormatPr defaultRowHeight="12.5"/>
  <cols>
    <col min="1" max="1" width="14.36328125" bestFit="1" customWidth="1"/>
    <col min="2" max="2" width="16.1796875" bestFit="1" customWidth="1"/>
    <col min="3" max="3" width="9.7265625" bestFit="1" customWidth="1"/>
    <col min="4" max="4" width="11.81640625" bestFit="1" customWidth="1"/>
    <col min="5" max="5" width="10.7265625" bestFit="1" customWidth="1"/>
    <col min="6" max="6" width="11.81640625" bestFit="1" customWidth="1"/>
    <col min="7" max="7" width="9.54296875" bestFit="1" customWidth="1"/>
    <col min="8" max="8" width="11.08984375" bestFit="1" customWidth="1"/>
    <col min="9" max="11" width="10.54296875" bestFit="1" customWidth="1"/>
    <col min="12" max="12" width="11.54296875" bestFit="1" customWidth="1"/>
    <col min="13" max="13" width="11" bestFit="1" customWidth="1"/>
    <col min="14" max="17" width="8" bestFit="1" customWidth="1"/>
    <col min="18" max="18" width="16.1796875" bestFit="1" customWidth="1"/>
    <col min="19" max="19" width="16.26953125" bestFit="1" customWidth="1"/>
    <col min="20" max="20" width="15.26953125" bestFit="1" customWidth="1"/>
    <col min="21" max="21" width="10.7265625" bestFit="1" customWidth="1"/>
    <col min="22" max="22" width="11" bestFit="1" customWidth="1"/>
    <col min="23" max="23" width="10.7265625" bestFit="1" customWidth="1"/>
    <col min="24" max="25" width="9.7265625" bestFit="1" customWidth="1"/>
    <col min="26" max="28" width="11.81640625" bestFit="1" customWidth="1"/>
    <col min="29" max="29" width="15.26953125" bestFit="1" customWidth="1"/>
    <col min="30" max="30" width="9.7265625" bestFit="1" customWidth="1"/>
    <col min="31" max="31" width="11" bestFit="1" customWidth="1"/>
    <col min="32" max="32" width="11.1796875" bestFit="1" customWidth="1"/>
    <col min="33" max="33" width="8.36328125" bestFit="1" customWidth="1"/>
    <col min="34" max="34" width="8.1796875" bestFit="1" customWidth="1"/>
    <col min="35" max="35" width="9" bestFit="1" customWidth="1"/>
    <col min="36" max="36" width="11.81640625" bestFit="1" customWidth="1"/>
    <col min="37" max="37" width="9.7265625" bestFit="1" customWidth="1"/>
    <col min="38" max="38" width="15.26953125" bestFit="1" customWidth="1"/>
    <col min="39" max="39" width="11.1796875" bestFit="1" customWidth="1"/>
    <col min="40" max="40" width="9.7265625" bestFit="1" customWidth="1"/>
    <col min="41" max="41" width="11" bestFit="1" customWidth="1"/>
    <col min="42" max="42" width="8.1796875" bestFit="1" customWidth="1"/>
    <col min="43" max="43" width="9" bestFit="1" customWidth="1"/>
    <col min="44" max="44" width="8.36328125" bestFit="1" customWidth="1"/>
    <col min="45" max="45" width="7.1796875" bestFit="1" customWidth="1"/>
    <col min="46" max="46" width="11.90625" bestFit="1" customWidth="1"/>
    <col min="47" max="47" width="9.7265625" bestFit="1" customWidth="1"/>
    <col min="48" max="48" width="15.26953125" bestFit="1" customWidth="1"/>
    <col min="49" max="49" width="9.7265625" bestFit="1" customWidth="1"/>
    <col min="50" max="50" width="11" bestFit="1" customWidth="1"/>
    <col min="51" max="51" width="11.1796875" bestFit="1" customWidth="1"/>
    <col min="52" max="52" width="8.36328125" bestFit="1" customWidth="1"/>
    <col min="53" max="54" width="8.1796875" bestFit="1" customWidth="1"/>
    <col min="55" max="55" width="9" bestFit="1" customWidth="1"/>
    <col min="56" max="56" width="11.6328125" bestFit="1" customWidth="1"/>
    <col min="57" max="57" width="15.26953125" bestFit="1" customWidth="1"/>
    <col min="58" max="59" width="9.7265625" bestFit="1" customWidth="1"/>
    <col min="60" max="60" width="11" bestFit="1" customWidth="1"/>
    <col min="61" max="61" width="11.1796875" bestFit="1" customWidth="1"/>
    <col min="62" max="62" width="8.36328125" bestFit="1" customWidth="1"/>
    <col min="63" max="64" width="8.1796875" bestFit="1" customWidth="1"/>
    <col min="65" max="65" width="12.1796875" bestFit="1" customWidth="1"/>
    <col min="66" max="66" width="9.7265625" bestFit="1" customWidth="1"/>
    <col min="67" max="67" width="15.26953125" bestFit="1" customWidth="1"/>
    <col min="68" max="68" width="9.7265625" bestFit="1" customWidth="1"/>
    <col min="69" max="69" width="11" bestFit="1" customWidth="1"/>
    <col min="70" max="70" width="11.1796875" bestFit="1" customWidth="1"/>
    <col min="71" max="71" width="8.36328125" bestFit="1" customWidth="1"/>
    <col min="72" max="73" width="8.1796875" bestFit="1" customWidth="1"/>
    <col min="74" max="75" width="11.81640625" bestFit="1" customWidth="1"/>
  </cols>
  <sheetData>
    <row r="1" spans="1:16">
      <c r="A1" s="9" t="s">
        <v>90</v>
      </c>
      <c r="B1" t="s">
        <v>96</v>
      </c>
    </row>
    <row r="2" spans="1:16">
      <c r="A2" s="13" t="s">
        <v>7</v>
      </c>
      <c r="B2" s="12">
        <v>106290171</v>
      </c>
    </row>
    <row r="3" spans="1:16">
      <c r="A3" s="13" t="s">
        <v>2</v>
      </c>
      <c r="B3" s="12">
        <v>99986214</v>
      </c>
    </row>
    <row r="4" spans="1:16">
      <c r="A4" s="13" t="s">
        <v>10</v>
      </c>
      <c r="B4" s="12">
        <v>95102109</v>
      </c>
      <c r="H4" s="13" t="s">
        <v>7</v>
      </c>
      <c r="I4" s="11">
        <v>50612307</v>
      </c>
      <c r="J4" s="51" t="str">
        <f>REPT("|",B2/MAX($B$2:$B$10)*100)</f>
        <v>|||||||||||||||||||||||||||</v>
      </c>
      <c r="K4" s="18"/>
      <c r="L4" s="18"/>
      <c r="M4" s="17"/>
      <c r="N4" s="17"/>
      <c r="O4" s="17"/>
      <c r="P4" s="17"/>
    </row>
    <row r="5" spans="1:16">
      <c r="A5" s="13" t="s">
        <v>3</v>
      </c>
      <c r="B5" s="12">
        <v>64886458</v>
      </c>
      <c r="H5" s="13" t="s">
        <v>2</v>
      </c>
      <c r="I5" s="11">
        <v>45883154</v>
      </c>
      <c r="J5" s="51" t="str">
        <f t="shared" ref="J5:J12" si="0">REPT("|",B3/MAX($B$2:$B$10)*100)</f>
        <v>|||||||||||||||||||||||||</v>
      </c>
      <c r="K5" s="18"/>
      <c r="L5" s="18"/>
    </row>
    <row r="6" spans="1:16">
      <c r="A6" s="13" t="s">
        <v>18</v>
      </c>
      <c r="B6" s="12">
        <v>11760816</v>
      </c>
      <c r="H6" s="13" t="s">
        <v>10</v>
      </c>
      <c r="I6" s="11">
        <v>40470770</v>
      </c>
      <c r="J6" s="18" t="str">
        <f t="shared" si="0"/>
        <v>||||||||||||||||||||||||</v>
      </c>
      <c r="K6" s="18"/>
      <c r="L6" s="18"/>
    </row>
    <row r="7" spans="1:16">
      <c r="A7" s="13" t="s">
        <v>16</v>
      </c>
      <c r="B7" s="12">
        <v>9091220</v>
      </c>
      <c r="H7" s="13" t="s">
        <v>3</v>
      </c>
      <c r="I7" s="11">
        <v>28040534</v>
      </c>
      <c r="J7" s="18" t="str">
        <f t="shared" si="0"/>
        <v>||||||||||||||||</v>
      </c>
      <c r="K7" s="18"/>
      <c r="L7" s="18"/>
    </row>
    <row r="8" spans="1:16">
      <c r="A8" s="13" t="s">
        <v>86</v>
      </c>
      <c r="B8" s="12">
        <v>5025675</v>
      </c>
      <c r="H8" s="13" t="s">
        <v>13</v>
      </c>
      <c r="I8" s="11">
        <v>20480961</v>
      </c>
      <c r="J8" s="18" t="str">
        <f t="shared" si="0"/>
        <v>||</v>
      </c>
      <c r="K8" s="18"/>
      <c r="L8" s="18"/>
    </row>
    <row r="9" spans="1:16">
      <c r="A9" s="13" t="s">
        <v>91</v>
      </c>
      <c r="B9" s="12">
        <v>392142663</v>
      </c>
      <c r="H9" s="13" t="s">
        <v>18</v>
      </c>
      <c r="I9" s="11">
        <v>4076418</v>
      </c>
      <c r="J9" s="18" t="str">
        <f t="shared" si="0"/>
        <v>||</v>
      </c>
      <c r="K9" s="18"/>
      <c r="L9" s="18"/>
    </row>
    <row r="10" spans="1:16">
      <c r="H10" s="13" t="s">
        <v>16</v>
      </c>
      <c r="I10" s="11">
        <v>3824187</v>
      </c>
      <c r="J10" s="18" t="str">
        <f t="shared" si="0"/>
        <v>|</v>
      </c>
      <c r="K10" s="18"/>
      <c r="L10" s="18"/>
      <c r="M10" s="19"/>
    </row>
    <row r="11" spans="1:16">
      <c r="H11" s="13" t="s">
        <v>86</v>
      </c>
      <c r="I11" s="11">
        <v>1472881</v>
      </c>
      <c r="J11" s="18" t="str">
        <f t="shared" si="0"/>
        <v>||||||||||||||||||||||||||||||||||||||||||||||||||||||||||||||||||||||||||||||||||||||||||||||||||||</v>
      </c>
      <c r="K11" s="18"/>
      <c r="L11" s="18"/>
    </row>
    <row r="12" spans="1:16">
      <c r="H12" s="13" t="s">
        <v>17</v>
      </c>
      <c r="I12" s="11">
        <v>765619</v>
      </c>
      <c r="J12" s="18" t="str">
        <f t="shared" si="0"/>
        <v/>
      </c>
      <c r="K12" s="18"/>
      <c r="L12" s="18"/>
    </row>
    <row r="13" spans="1:16">
      <c r="H13" s="13" t="s">
        <v>97</v>
      </c>
      <c r="I13" s="11">
        <v>6663</v>
      </c>
      <c r="J13" s="18" t="str">
        <f>REPT("|",B11/MAX($B$2:$B$10)*100)</f>
        <v/>
      </c>
      <c r="K13" s="18"/>
      <c r="L13" s="17"/>
    </row>
    <row r="17" spans="1:26">
      <c r="H17" s="15" t="s">
        <v>98</v>
      </c>
      <c r="I17" s="16">
        <v>0.247</v>
      </c>
    </row>
    <row r="18" spans="1:26">
      <c r="H18" s="15" t="s">
        <v>99</v>
      </c>
      <c r="I18" s="16">
        <v>0.105</v>
      </c>
    </row>
    <row r="19" spans="1:26">
      <c r="H19" s="15" t="s">
        <v>100</v>
      </c>
      <c r="I19" s="16">
        <v>6.9000000000000006E-2</v>
      </c>
    </row>
    <row r="20" spans="1:26">
      <c r="H20" s="15" t="s">
        <v>101</v>
      </c>
      <c r="I20" s="16">
        <v>5.3999999999999999E-2</v>
      </c>
    </row>
    <row r="21" spans="1:26">
      <c r="H21" s="15" t="s">
        <v>102</v>
      </c>
      <c r="I21" s="16">
        <v>4.9000000000000002E-2</v>
      </c>
    </row>
    <row r="26" spans="1:26">
      <c r="A26" s="9" t="s">
        <v>0</v>
      </c>
      <c r="B26" t="s">
        <v>109</v>
      </c>
    </row>
    <row r="28" spans="1:26">
      <c r="A28" s="9" t="s">
        <v>96</v>
      </c>
      <c r="B28" s="9" t="s">
        <v>103</v>
      </c>
    </row>
    <row r="29" spans="1:26">
      <c r="A29" s="9" t="s">
        <v>90</v>
      </c>
      <c r="B29" t="s">
        <v>1</v>
      </c>
      <c r="C29" t="s">
        <v>79</v>
      </c>
      <c r="D29" t="s">
        <v>20</v>
      </c>
      <c r="E29" t="s">
        <v>42</v>
      </c>
      <c r="F29" t="s">
        <v>91</v>
      </c>
    </row>
    <row r="30" spans="1:26">
      <c r="A30" s="10">
        <v>44589</v>
      </c>
      <c r="B30" s="12">
        <v>14546548</v>
      </c>
      <c r="C30" s="12">
        <v>373925</v>
      </c>
      <c r="D30" s="12">
        <v>11347989</v>
      </c>
      <c r="E30" s="12">
        <v>4287221</v>
      </c>
      <c r="F30" s="12">
        <v>30555683</v>
      </c>
      <c r="R30" s="9" t="s">
        <v>96</v>
      </c>
      <c r="S30" s="9" t="s">
        <v>103</v>
      </c>
    </row>
    <row r="31" spans="1:26">
      <c r="A31" s="10">
        <v>44617</v>
      </c>
      <c r="B31" s="12">
        <v>14543591</v>
      </c>
      <c r="C31" s="12">
        <v>350252</v>
      </c>
      <c r="D31" s="12">
        <v>11459292</v>
      </c>
      <c r="E31" s="12">
        <v>4360126</v>
      </c>
      <c r="F31" s="12">
        <v>30713261</v>
      </c>
      <c r="R31" s="9" t="s">
        <v>90</v>
      </c>
      <c r="S31" t="s">
        <v>7</v>
      </c>
      <c r="T31" t="s">
        <v>2</v>
      </c>
      <c r="U31" t="s">
        <v>10</v>
      </c>
      <c r="V31" t="s">
        <v>3</v>
      </c>
      <c r="W31" t="s">
        <v>18</v>
      </c>
      <c r="X31" t="s">
        <v>16</v>
      </c>
      <c r="Y31" t="s">
        <v>86</v>
      </c>
      <c r="Z31" t="s">
        <v>91</v>
      </c>
    </row>
    <row r="32" spans="1:26">
      <c r="A32" s="10">
        <v>44645</v>
      </c>
      <c r="B32" s="12">
        <v>14894072</v>
      </c>
      <c r="C32" s="12">
        <v>815663</v>
      </c>
      <c r="D32" s="12">
        <v>11600176</v>
      </c>
      <c r="E32" s="12">
        <v>4442357</v>
      </c>
      <c r="F32" s="12">
        <v>31752268</v>
      </c>
      <c r="R32" s="10">
        <v>44589</v>
      </c>
      <c r="S32" s="12">
        <v>8321413</v>
      </c>
      <c r="T32" s="12">
        <v>7719740</v>
      </c>
      <c r="U32" s="12">
        <v>7674311</v>
      </c>
      <c r="V32" s="12">
        <v>5334658</v>
      </c>
      <c r="W32" s="12">
        <v>785425</v>
      </c>
      <c r="X32" s="12">
        <v>720136</v>
      </c>
      <c r="Y32" s="12"/>
      <c r="Z32" s="12">
        <v>30555683</v>
      </c>
    </row>
    <row r="33" spans="1:26">
      <c r="A33" s="10">
        <v>44679</v>
      </c>
      <c r="B33" s="12">
        <v>14888169</v>
      </c>
      <c r="C33" s="12">
        <v>838628</v>
      </c>
      <c r="D33" s="12">
        <v>11757159</v>
      </c>
      <c r="E33" s="12">
        <v>4501685</v>
      </c>
      <c r="F33" s="12">
        <v>31985641</v>
      </c>
      <c r="R33" s="10">
        <v>44617</v>
      </c>
      <c r="S33" s="12">
        <v>8425861</v>
      </c>
      <c r="T33" s="12">
        <v>7823131</v>
      </c>
      <c r="U33" s="12">
        <v>7720310</v>
      </c>
      <c r="V33" s="12">
        <v>5251813</v>
      </c>
      <c r="W33" s="12">
        <v>767368</v>
      </c>
      <c r="X33" s="12">
        <v>724778</v>
      </c>
      <c r="Y33" s="12"/>
      <c r="Z33" s="12">
        <v>30713261</v>
      </c>
    </row>
    <row r="34" spans="1:26">
      <c r="A34" s="10">
        <v>44708</v>
      </c>
      <c r="B34" s="12">
        <v>14885505</v>
      </c>
      <c r="C34" s="12">
        <v>855943</v>
      </c>
      <c r="D34" s="12">
        <v>12627283</v>
      </c>
      <c r="E34" s="12">
        <v>4509724</v>
      </c>
      <c r="F34" s="12">
        <v>32878455</v>
      </c>
      <c r="R34" s="10">
        <v>44645</v>
      </c>
      <c r="S34" s="12">
        <v>8616348</v>
      </c>
      <c r="T34" s="12">
        <v>8096763</v>
      </c>
      <c r="U34" s="12">
        <v>7760629</v>
      </c>
      <c r="V34" s="12">
        <v>5353297</v>
      </c>
      <c r="W34" s="12">
        <v>786087</v>
      </c>
      <c r="X34" s="12">
        <v>739524</v>
      </c>
      <c r="Y34" s="12">
        <v>399620</v>
      </c>
      <c r="Z34" s="12">
        <v>31752268</v>
      </c>
    </row>
    <row r="35" spans="1:26">
      <c r="A35" s="10">
        <v>44739</v>
      </c>
      <c r="B35" s="12">
        <v>14881830</v>
      </c>
      <c r="C35" s="12">
        <v>848355</v>
      </c>
      <c r="D35" s="12">
        <v>12182209</v>
      </c>
      <c r="E35" s="12">
        <v>4514374</v>
      </c>
      <c r="F35" s="12">
        <v>32426768</v>
      </c>
      <c r="R35" s="10">
        <v>44679</v>
      </c>
      <c r="S35" s="12">
        <v>8683649</v>
      </c>
      <c r="T35" s="12">
        <v>8190208</v>
      </c>
      <c r="U35" s="12">
        <v>7807830</v>
      </c>
      <c r="V35" s="12">
        <v>5363592</v>
      </c>
      <c r="W35" s="12">
        <v>793821</v>
      </c>
      <c r="X35" s="12">
        <v>744599</v>
      </c>
      <c r="Y35" s="12">
        <v>401942</v>
      </c>
      <c r="Z35" s="12">
        <v>31985641</v>
      </c>
    </row>
    <row r="36" spans="1:26">
      <c r="A36" s="10">
        <v>44771</v>
      </c>
      <c r="B36" s="12">
        <v>14888588</v>
      </c>
      <c r="C36" s="12">
        <v>904034</v>
      </c>
      <c r="D36" s="12">
        <v>12367051</v>
      </c>
      <c r="E36" s="12">
        <v>4533639</v>
      </c>
      <c r="F36" s="12">
        <v>32693312</v>
      </c>
      <c r="R36" s="10">
        <v>44708</v>
      </c>
      <c r="S36" s="12">
        <v>8742530</v>
      </c>
      <c r="T36" s="12">
        <v>8841697</v>
      </c>
      <c r="U36" s="12">
        <v>7847917</v>
      </c>
      <c r="V36" s="12">
        <v>5371452</v>
      </c>
      <c r="W36" s="12">
        <v>815774</v>
      </c>
      <c r="X36" s="12">
        <v>748987</v>
      </c>
      <c r="Y36" s="12">
        <v>510098</v>
      </c>
      <c r="Z36" s="12">
        <v>32878455</v>
      </c>
    </row>
    <row r="37" spans="1:26">
      <c r="A37" s="10">
        <v>44802</v>
      </c>
      <c r="B37" s="12">
        <v>14891551</v>
      </c>
      <c r="C37" s="12">
        <v>917313</v>
      </c>
      <c r="D37" s="12">
        <v>12915175</v>
      </c>
      <c r="E37" s="12">
        <v>4600252</v>
      </c>
      <c r="F37" s="12">
        <v>33324291</v>
      </c>
      <c r="R37" s="10">
        <v>44739</v>
      </c>
      <c r="S37" s="12">
        <v>8823285</v>
      </c>
      <c r="T37" s="12">
        <v>8272128</v>
      </c>
      <c r="U37" s="12">
        <v>7891065</v>
      </c>
      <c r="V37" s="12">
        <v>5383881</v>
      </c>
      <c r="W37" s="12">
        <v>787553</v>
      </c>
      <c r="X37" s="12">
        <v>754130</v>
      </c>
      <c r="Y37" s="12">
        <v>514726</v>
      </c>
      <c r="Z37" s="12">
        <v>32426768</v>
      </c>
    </row>
    <row r="38" spans="1:26">
      <c r="A38" s="10">
        <v>44834</v>
      </c>
      <c r="B38" s="12">
        <v>14904113</v>
      </c>
      <c r="C38" s="12">
        <v>950813</v>
      </c>
      <c r="D38" s="12">
        <v>13157429</v>
      </c>
      <c r="E38" s="12">
        <v>4614823</v>
      </c>
      <c r="F38" s="12">
        <v>33627178</v>
      </c>
      <c r="R38" s="10">
        <v>44771</v>
      </c>
      <c r="S38" s="12">
        <v>8902520</v>
      </c>
      <c r="T38" s="12">
        <v>8338172</v>
      </c>
      <c r="U38" s="12">
        <v>7942908</v>
      </c>
      <c r="V38" s="12">
        <v>5397857</v>
      </c>
      <c r="W38" s="12">
        <v>831633</v>
      </c>
      <c r="X38" s="12">
        <v>760161</v>
      </c>
      <c r="Y38" s="12">
        <v>520061</v>
      </c>
      <c r="Z38" s="12">
        <v>32693312</v>
      </c>
    </row>
    <row r="39" spans="1:26">
      <c r="A39" s="10">
        <v>44862</v>
      </c>
      <c r="B39" s="12">
        <v>14882289</v>
      </c>
      <c r="C39" s="12">
        <v>981275</v>
      </c>
      <c r="D39" s="12">
        <v>13343446</v>
      </c>
      <c r="E39" s="12">
        <v>4689716</v>
      </c>
      <c r="F39" s="12">
        <v>33896726</v>
      </c>
      <c r="R39" s="10">
        <v>44802</v>
      </c>
      <c r="S39" s="12">
        <v>8982082</v>
      </c>
      <c r="T39" s="12">
        <v>8223461</v>
      </c>
      <c r="U39" s="12">
        <v>7993758</v>
      </c>
      <c r="V39" s="12">
        <v>5623878</v>
      </c>
      <c r="W39" s="12">
        <v>1210947</v>
      </c>
      <c r="X39" s="12">
        <v>764953</v>
      </c>
      <c r="Y39" s="12">
        <v>525212</v>
      </c>
      <c r="Z39" s="12">
        <v>33324291</v>
      </c>
    </row>
    <row r="40" spans="1:26">
      <c r="A40" s="10">
        <v>44893</v>
      </c>
      <c r="B40" s="12">
        <v>14892738</v>
      </c>
      <c r="C40" s="12">
        <v>1009854</v>
      </c>
      <c r="D40" s="12">
        <v>13507362</v>
      </c>
      <c r="E40" s="12">
        <v>4672544</v>
      </c>
      <c r="F40" s="12">
        <v>34082498</v>
      </c>
      <c r="R40" s="10">
        <v>44834</v>
      </c>
      <c r="S40" s="12">
        <v>9092227</v>
      </c>
      <c r="T40" s="12">
        <v>8515594</v>
      </c>
      <c r="U40" s="12">
        <v>8058107</v>
      </c>
      <c r="V40" s="12">
        <v>5429806</v>
      </c>
      <c r="W40" s="12">
        <v>1225978</v>
      </c>
      <c r="X40" s="12">
        <v>773359</v>
      </c>
      <c r="Y40" s="12">
        <v>532107</v>
      </c>
      <c r="Z40" s="12">
        <v>33627178</v>
      </c>
    </row>
    <row r="41" spans="1:26">
      <c r="A41" s="10">
        <v>44914</v>
      </c>
      <c r="B41" s="12">
        <v>14898897</v>
      </c>
      <c r="C41" s="12">
        <v>1024168</v>
      </c>
      <c r="D41" s="12">
        <v>13612331</v>
      </c>
      <c r="E41" s="12">
        <v>4671186</v>
      </c>
      <c r="F41" s="12">
        <v>34206582</v>
      </c>
      <c r="R41" s="10">
        <v>44862</v>
      </c>
      <c r="S41" s="12">
        <v>9176550</v>
      </c>
      <c r="T41" s="12">
        <v>8623566</v>
      </c>
      <c r="U41" s="12">
        <v>8098585</v>
      </c>
      <c r="V41" s="12">
        <v>5441602</v>
      </c>
      <c r="W41" s="12">
        <v>1238805</v>
      </c>
      <c r="X41" s="12">
        <v>781157</v>
      </c>
      <c r="Y41" s="12">
        <v>536461</v>
      </c>
      <c r="Z41" s="12">
        <v>33896726</v>
      </c>
    </row>
    <row r="42" spans="1:26">
      <c r="A42" s="10" t="s">
        <v>91</v>
      </c>
      <c r="B42" s="12">
        <v>177997891</v>
      </c>
      <c r="C42" s="12">
        <v>9870223</v>
      </c>
      <c r="D42" s="12">
        <v>149876902</v>
      </c>
      <c r="E42" s="12">
        <v>54397647</v>
      </c>
      <c r="F42" s="12">
        <v>392142663</v>
      </c>
      <c r="R42" s="10">
        <v>44893</v>
      </c>
      <c r="S42" s="12">
        <v>9240574</v>
      </c>
      <c r="T42" s="12">
        <v>8657567</v>
      </c>
      <c r="U42" s="12">
        <v>8140167</v>
      </c>
      <c r="V42" s="12">
        <v>5462796</v>
      </c>
      <c r="W42" s="12">
        <v>1253199</v>
      </c>
      <c r="X42" s="12">
        <v>787109</v>
      </c>
      <c r="Y42" s="12">
        <v>541086</v>
      </c>
      <c r="Z42" s="12">
        <v>34082498</v>
      </c>
    </row>
    <row r="43" spans="1:26">
      <c r="R43" s="10">
        <v>44914</v>
      </c>
      <c r="S43" s="12">
        <v>9283132</v>
      </c>
      <c r="T43" s="12">
        <v>8684187</v>
      </c>
      <c r="U43" s="12">
        <v>8166522</v>
      </c>
      <c r="V43" s="12">
        <v>5471826</v>
      </c>
      <c r="W43" s="12">
        <v>1264226</v>
      </c>
      <c r="X43" s="12">
        <v>792327</v>
      </c>
      <c r="Y43" s="12">
        <v>544362</v>
      </c>
      <c r="Z43" s="12">
        <v>34206582</v>
      </c>
    </row>
    <row r="44" spans="1:26">
      <c r="R44" s="10" t="s">
        <v>91</v>
      </c>
      <c r="S44" s="12">
        <v>106290171</v>
      </c>
      <c r="T44" s="12">
        <v>99986214</v>
      </c>
      <c r="U44" s="12">
        <v>95102109</v>
      </c>
      <c r="V44" s="12">
        <v>64886458</v>
      </c>
      <c r="W44" s="12">
        <v>11760816</v>
      </c>
      <c r="X44" s="12">
        <v>9091220</v>
      </c>
      <c r="Y44" s="12">
        <v>5025675</v>
      </c>
      <c r="Z44" s="12">
        <v>392142663</v>
      </c>
    </row>
  </sheetData>
  <conditionalFormatting sqref="I17:I21">
    <cfRule type="dataBar" priority="1">
      <dataBar>
        <cfvo type="min"/>
        <cfvo type="max"/>
        <color rgb="FF638EC6"/>
      </dataBar>
      <extLst>
        <ext xmlns:x14="http://schemas.microsoft.com/office/spreadsheetml/2009/9/main" uri="{B025F937-C7B1-47D3-B67F-A62EFF666E3E}">
          <x14:id>{4F3559E9-5251-45A8-9DDF-735D3A635A7D}</x14:id>
        </ext>
      </extLst>
    </cfRule>
  </conditionalFormatting>
  <conditionalFormatting sqref="J20">
    <cfRule type="dataBar" priority="2">
      <dataBar>
        <cfvo type="min"/>
        <cfvo type="max"/>
        <color rgb="FF63C384"/>
      </dataBar>
      <extLst>
        <ext xmlns:x14="http://schemas.microsoft.com/office/spreadsheetml/2009/9/main" uri="{B025F937-C7B1-47D3-B67F-A62EFF666E3E}">
          <x14:id>{1EC2D232-3A1D-4AA8-B869-A08970C81101}</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x14:cfRule type="dataBar" id="{4F3559E9-5251-45A8-9DDF-735D3A635A7D}">
            <x14:dataBar minLength="0" maxLength="100" gradient="0">
              <x14:cfvo type="autoMin"/>
              <x14:cfvo type="autoMax"/>
              <x14:negativeFillColor rgb="FFFF0000"/>
              <x14:axisColor rgb="FF000000"/>
            </x14:dataBar>
          </x14:cfRule>
          <xm:sqref>I17:I21</xm:sqref>
        </x14:conditionalFormatting>
        <x14:conditionalFormatting xmlns:xm="http://schemas.microsoft.com/office/excel/2006/main">
          <x14:cfRule type="dataBar" id="{1EC2D232-3A1D-4AA8-B869-A08970C81101}">
            <x14:dataBar minLength="0" maxLength="100" gradient="0">
              <x14:cfvo type="autoMin"/>
              <x14:cfvo type="autoMax"/>
              <x14:negativeFillColor rgb="FFFF0000"/>
              <x14:axisColor rgb="FF000000"/>
            </x14:dataBar>
          </x14:cfRule>
          <xm:sqref>J20</xm:sqref>
        </x14:conditionalFormatting>
      </x14:conditionalFormattings>
    </ex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A04B-FD4F-4311-BFE8-0FF10BED5697}">
  <dimension ref="A1:N100"/>
  <sheetViews>
    <sheetView workbookViewId="0">
      <selection activeCell="F3" sqref="F3"/>
    </sheetView>
  </sheetViews>
  <sheetFormatPr defaultRowHeight="12.5"/>
  <cols>
    <col min="1" max="1" width="15.81640625" bestFit="1" customWidth="1"/>
    <col min="2" max="2" width="15.90625" bestFit="1" customWidth="1"/>
    <col min="3" max="13" width="10.1796875" bestFit="1" customWidth="1"/>
    <col min="14" max="14" width="12.1796875" bestFit="1" customWidth="1"/>
    <col min="15" max="15" width="21.90625" bestFit="1" customWidth="1"/>
  </cols>
  <sheetData>
    <row r="1" spans="1:14">
      <c r="A1" s="9" t="s">
        <v>76</v>
      </c>
      <c r="B1" t="s">
        <v>104</v>
      </c>
    </row>
    <row r="3" spans="1:14">
      <c r="A3" s="9" t="s">
        <v>96</v>
      </c>
      <c r="B3" s="9" t="s">
        <v>103</v>
      </c>
    </row>
    <row r="4" spans="1:14">
      <c r="A4" s="9" t="s">
        <v>90</v>
      </c>
      <c r="B4" s="20">
        <v>44589</v>
      </c>
      <c r="C4" s="20">
        <v>44617</v>
      </c>
      <c r="D4" s="20">
        <v>44645</v>
      </c>
      <c r="E4" s="20">
        <v>44679</v>
      </c>
      <c r="F4" s="20">
        <v>44708</v>
      </c>
      <c r="G4" s="20">
        <v>44739</v>
      </c>
      <c r="H4" s="20">
        <v>44771</v>
      </c>
      <c r="I4" s="20">
        <v>44802</v>
      </c>
      <c r="J4" s="20">
        <v>44834</v>
      </c>
      <c r="K4" s="20">
        <v>44862</v>
      </c>
      <c r="L4" s="20">
        <v>44893</v>
      </c>
      <c r="M4" s="20">
        <v>44914</v>
      </c>
      <c r="N4" s="20" t="s">
        <v>91</v>
      </c>
    </row>
    <row r="5" spans="1:14">
      <c r="A5" s="13" t="s">
        <v>7</v>
      </c>
      <c r="B5" s="11">
        <v>8321413</v>
      </c>
      <c r="C5" s="11">
        <v>8425861</v>
      </c>
      <c r="D5" s="11">
        <v>8616348</v>
      </c>
      <c r="E5" s="11">
        <v>8683649</v>
      </c>
      <c r="F5" s="11">
        <v>8742530</v>
      </c>
      <c r="G5" s="11">
        <v>8823285</v>
      </c>
      <c r="H5" s="11">
        <v>8902520</v>
      </c>
      <c r="I5" s="11">
        <v>8982082</v>
      </c>
      <c r="J5" s="11">
        <v>9092227</v>
      </c>
      <c r="K5" s="11">
        <v>9176550</v>
      </c>
      <c r="L5" s="11">
        <v>9240574</v>
      </c>
      <c r="M5" s="11">
        <v>9283132</v>
      </c>
      <c r="N5" s="11">
        <v>106290171</v>
      </c>
    </row>
    <row r="6" spans="1:14">
      <c r="A6" s="13" t="s">
        <v>2</v>
      </c>
      <c r="B6" s="11">
        <v>7719740</v>
      </c>
      <c r="C6" s="11">
        <v>7823131</v>
      </c>
      <c r="D6" s="11">
        <v>8096763</v>
      </c>
      <c r="E6" s="11">
        <v>8190208</v>
      </c>
      <c r="F6" s="11">
        <v>8841697</v>
      </c>
      <c r="G6" s="11">
        <v>8272128</v>
      </c>
      <c r="H6" s="11">
        <v>8338172</v>
      </c>
      <c r="I6" s="11">
        <v>8223461</v>
      </c>
      <c r="J6" s="11">
        <v>8515594</v>
      </c>
      <c r="K6" s="11">
        <v>8623566</v>
      </c>
      <c r="L6" s="11">
        <v>8657567</v>
      </c>
      <c r="M6" s="11">
        <v>8684187</v>
      </c>
      <c r="N6" s="11">
        <v>99986214</v>
      </c>
    </row>
    <row r="7" spans="1:14">
      <c r="A7" s="13" t="s">
        <v>10</v>
      </c>
      <c r="B7" s="11">
        <v>7674311</v>
      </c>
      <c r="C7" s="11">
        <v>7720310</v>
      </c>
      <c r="D7" s="11">
        <v>7760629</v>
      </c>
      <c r="E7" s="11">
        <v>7807830</v>
      </c>
      <c r="F7" s="11">
        <v>7847917</v>
      </c>
      <c r="G7" s="11">
        <v>7891065</v>
      </c>
      <c r="H7" s="11">
        <v>7942908</v>
      </c>
      <c r="I7" s="11">
        <v>7993758</v>
      </c>
      <c r="J7" s="11">
        <v>8058107</v>
      </c>
      <c r="K7" s="11">
        <v>8098585</v>
      </c>
      <c r="L7" s="11">
        <v>8140167</v>
      </c>
      <c r="M7" s="11">
        <v>8166522</v>
      </c>
      <c r="N7" s="11">
        <v>95102109</v>
      </c>
    </row>
    <row r="8" spans="1:14">
      <c r="A8" s="13" t="s">
        <v>3</v>
      </c>
      <c r="B8" s="11">
        <v>5334658</v>
      </c>
      <c r="C8" s="11">
        <v>5251813</v>
      </c>
      <c r="D8" s="11">
        <v>5353297</v>
      </c>
      <c r="E8" s="11">
        <v>5363592</v>
      </c>
      <c r="F8" s="11">
        <v>5371452</v>
      </c>
      <c r="G8" s="11">
        <v>5383881</v>
      </c>
      <c r="H8" s="11">
        <v>5397857</v>
      </c>
      <c r="I8" s="11">
        <v>5623878</v>
      </c>
      <c r="J8" s="11">
        <v>5429806</v>
      </c>
      <c r="K8" s="11">
        <v>5441602</v>
      </c>
      <c r="L8" s="11">
        <v>5462796</v>
      </c>
      <c r="M8" s="11">
        <v>5471826</v>
      </c>
      <c r="N8" s="11">
        <v>64886458</v>
      </c>
    </row>
    <row r="9" spans="1:14">
      <c r="A9" s="13" t="s">
        <v>18</v>
      </c>
      <c r="B9" s="11">
        <v>785425</v>
      </c>
      <c r="C9" s="11">
        <v>767368</v>
      </c>
      <c r="D9" s="11">
        <v>786087</v>
      </c>
      <c r="E9" s="11">
        <v>793821</v>
      </c>
      <c r="F9" s="11">
        <v>815774</v>
      </c>
      <c r="G9" s="11">
        <v>787553</v>
      </c>
      <c r="H9" s="11">
        <v>831633</v>
      </c>
      <c r="I9" s="11">
        <v>1210947</v>
      </c>
      <c r="J9" s="11">
        <v>1225978</v>
      </c>
      <c r="K9" s="11">
        <v>1238805</v>
      </c>
      <c r="L9" s="11">
        <v>1253199</v>
      </c>
      <c r="M9" s="11">
        <v>1264226</v>
      </c>
      <c r="N9" s="11">
        <v>11760816</v>
      </c>
    </row>
    <row r="10" spans="1:14">
      <c r="A10" s="13" t="s">
        <v>16</v>
      </c>
      <c r="B10" s="11">
        <v>720136</v>
      </c>
      <c r="C10" s="11">
        <v>724778</v>
      </c>
      <c r="D10" s="11">
        <v>739524</v>
      </c>
      <c r="E10" s="11">
        <v>744599</v>
      </c>
      <c r="F10" s="11">
        <v>748987</v>
      </c>
      <c r="G10" s="11">
        <v>754130</v>
      </c>
      <c r="H10" s="11">
        <v>760161</v>
      </c>
      <c r="I10" s="11">
        <v>764953</v>
      </c>
      <c r="J10" s="11">
        <v>773359</v>
      </c>
      <c r="K10" s="11">
        <v>781157</v>
      </c>
      <c r="L10" s="11">
        <v>787109</v>
      </c>
      <c r="M10" s="11">
        <v>792327</v>
      </c>
      <c r="N10" s="11">
        <v>9091220</v>
      </c>
    </row>
    <row r="11" spans="1:14">
      <c r="A11" s="13" t="s">
        <v>86</v>
      </c>
      <c r="B11" s="11"/>
      <c r="C11" s="11"/>
      <c r="D11" s="11">
        <v>399620</v>
      </c>
      <c r="E11" s="11">
        <v>401942</v>
      </c>
      <c r="F11" s="11">
        <v>510098</v>
      </c>
      <c r="G11" s="11">
        <v>514726</v>
      </c>
      <c r="H11" s="11">
        <v>520061</v>
      </c>
      <c r="I11" s="11">
        <v>525212</v>
      </c>
      <c r="J11" s="11">
        <v>532107</v>
      </c>
      <c r="K11" s="11">
        <v>536461</v>
      </c>
      <c r="L11" s="11">
        <v>541086</v>
      </c>
      <c r="M11" s="11">
        <v>544362</v>
      </c>
      <c r="N11" s="11">
        <v>5025675</v>
      </c>
    </row>
    <row r="12" spans="1:14">
      <c r="A12" s="13" t="s">
        <v>91</v>
      </c>
      <c r="B12">
        <v>30555683</v>
      </c>
      <c r="C12">
        <v>30713261</v>
      </c>
      <c r="D12">
        <v>31752268</v>
      </c>
      <c r="E12">
        <v>31985641</v>
      </c>
      <c r="F12">
        <v>32878455</v>
      </c>
      <c r="G12">
        <v>32426768</v>
      </c>
      <c r="H12">
        <v>32693312</v>
      </c>
      <c r="I12">
        <v>33324291</v>
      </c>
      <c r="J12">
        <v>33627178</v>
      </c>
      <c r="K12">
        <v>33896726</v>
      </c>
      <c r="L12">
        <v>34082498</v>
      </c>
      <c r="M12">
        <v>34206582</v>
      </c>
      <c r="N12">
        <v>392142663</v>
      </c>
    </row>
    <row r="26" spans="1:13">
      <c r="A26" s="9" t="s">
        <v>76</v>
      </c>
      <c r="B26" t="s">
        <v>104</v>
      </c>
    </row>
    <row r="28" spans="1:13">
      <c r="A28" s="9" t="s">
        <v>96</v>
      </c>
      <c r="B28" s="9" t="s">
        <v>103</v>
      </c>
    </row>
    <row r="29" spans="1:13">
      <c r="A29" s="9" t="s">
        <v>90</v>
      </c>
      <c r="B29" s="20">
        <v>44589</v>
      </c>
      <c r="C29" s="20">
        <v>44617</v>
      </c>
      <c r="D29" s="20">
        <v>44645</v>
      </c>
      <c r="E29" s="20">
        <v>44679</v>
      </c>
      <c r="F29" s="20">
        <v>44708</v>
      </c>
      <c r="G29" s="20">
        <v>44739</v>
      </c>
      <c r="H29" s="20">
        <v>44771</v>
      </c>
      <c r="I29" s="20">
        <v>44802</v>
      </c>
      <c r="J29" s="20">
        <v>44834</v>
      </c>
      <c r="K29" s="20">
        <v>44862</v>
      </c>
      <c r="L29" s="20">
        <v>44893</v>
      </c>
      <c r="M29" s="20">
        <v>44914</v>
      </c>
    </row>
    <row r="30" spans="1:13">
      <c r="A30" s="13" t="s">
        <v>7</v>
      </c>
      <c r="B30" s="11">
        <v>8321413</v>
      </c>
      <c r="C30" s="11">
        <v>8425861</v>
      </c>
      <c r="D30" s="11">
        <v>8616348</v>
      </c>
      <c r="E30" s="11">
        <v>8683649</v>
      </c>
      <c r="F30" s="11">
        <v>8742530</v>
      </c>
      <c r="G30" s="11">
        <v>8823285</v>
      </c>
      <c r="H30" s="11">
        <v>8902520</v>
      </c>
      <c r="I30" s="11">
        <v>8982082</v>
      </c>
      <c r="J30" s="11">
        <v>9092227</v>
      </c>
      <c r="K30" s="11">
        <v>9176550</v>
      </c>
      <c r="L30" s="11">
        <v>9240574</v>
      </c>
      <c r="M30" s="11">
        <v>9283132</v>
      </c>
    </row>
    <row r="31" spans="1:13">
      <c r="A31" s="13" t="s">
        <v>2</v>
      </c>
      <c r="B31" s="11">
        <v>7719740</v>
      </c>
      <c r="C31" s="11">
        <v>7823131</v>
      </c>
      <c r="D31" s="11">
        <v>8096763</v>
      </c>
      <c r="E31" s="11">
        <v>8190208</v>
      </c>
      <c r="F31" s="11">
        <v>8841697</v>
      </c>
      <c r="G31" s="11">
        <v>8272128</v>
      </c>
      <c r="H31" s="11">
        <v>8338172</v>
      </c>
      <c r="I31" s="11">
        <v>8223461</v>
      </c>
      <c r="J31" s="11">
        <v>8515594</v>
      </c>
      <c r="K31" s="11">
        <v>8623566</v>
      </c>
      <c r="L31" s="11">
        <v>8657567</v>
      </c>
      <c r="M31" s="11">
        <v>8684187</v>
      </c>
    </row>
    <row r="32" spans="1:13">
      <c r="A32" s="13" t="s">
        <v>10</v>
      </c>
      <c r="B32" s="11">
        <v>7674311</v>
      </c>
      <c r="C32" s="11">
        <v>7720310</v>
      </c>
      <c r="D32" s="11">
        <v>7760629</v>
      </c>
      <c r="E32" s="11">
        <v>7807830</v>
      </c>
      <c r="F32" s="11">
        <v>7847917</v>
      </c>
      <c r="G32" s="11">
        <v>7891065</v>
      </c>
      <c r="H32" s="11">
        <v>7942908</v>
      </c>
      <c r="I32" s="11">
        <v>7993758</v>
      </c>
      <c r="J32" s="11">
        <v>8058107</v>
      </c>
      <c r="K32" s="11">
        <v>8098585</v>
      </c>
      <c r="L32" s="11">
        <v>8140167</v>
      </c>
      <c r="M32" s="11">
        <v>8166522</v>
      </c>
    </row>
    <row r="33" spans="1:13">
      <c r="A33" s="13" t="s">
        <v>3</v>
      </c>
      <c r="B33" s="11">
        <v>5334658</v>
      </c>
      <c r="C33" s="11">
        <v>5251813</v>
      </c>
      <c r="D33" s="11">
        <v>5353297</v>
      </c>
      <c r="E33" s="11">
        <v>5363592</v>
      </c>
      <c r="F33" s="11">
        <v>5371452</v>
      </c>
      <c r="G33" s="11">
        <v>5383881</v>
      </c>
      <c r="H33" s="11">
        <v>5397857</v>
      </c>
      <c r="I33" s="11">
        <v>5623878</v>
      </c>
      <c r="J33" s="11">
        <v>5429806</v>
      </c>
      <c r="K33" s="11">
        <v>5441602</v>
      </c>
      <c r="L33" s="11">
        <v>5462796</v>
      </c>
      <c r="M33" s="11">
        <v>5471826</v>
      </c>
    </row>
    <row r="34" spans="1:13">
      <c r="A34" s="13" t="s">
        <v>18</v>
      </c>
      <c r="B34" s="11">
        <v>785425</v>
      </c>
      <c r="C34" s="11">
        <v>767368</v>
      </c>
      <c r="D34" s="11">
        <v>786087</v>
      </c>
      <c r="E34" s="11">
        <v>793821</v>
      </c>
      <c r="F34" s="11">
        <v>815774</v>
      </c>
      <c r="G34" s="11">
        <v>787553</v>
      </c>
      <c r="H34" s="11">
        <v>831633</v>
      </c>
      <c r="I34" s="11">
        <v>1210947</v>
      </c>
      <c r="J34" s="11">
        <v>1225978</v>
      </c>
      <c r="K34" s="11">
        <v>1238805</v>
      </c>
      <c r="L34" s="11">
        <v>1253199</v>
      </c>
      <c r="M34" s="11">
        <v>1264226</v>
      </c>
    </row>
    <row r="35" spans="1:13">
      <c r="A35" s="13" t="s">
        <v>16</v>
      </c>
      <c r="B35" s="11">
        <v>720136</v>
      </c>
      <c r="C35" s="11">
        <v>724778</v>
      </c>
      <c r="D35" s="11">
        <v>739524</v>
      </c>
      <c r="E35" s="11">
        <v>744599</v>
      </c>
      <c r="F35" s="11">
        <v>748987</v>
      </c>
      <c r="G35" s="11">
        <v>754130</v>
      </c>
      <c r="H35" s="11">
        <v>760161</v>
      </c>
      <c r="I35" s="11">
        <v>764953</v>
      </c>
      <c r="J35" s="11">
        <v>773359</v>
      </c>
      <c r="K35" s="11">
        <v>781157</v>
      </c>
      <c r="L35" s="11">
        <v>787109</v>
      </c>
      <c r="M35" s="11">
        <v>792327</v>
      </c>
    </row>
    <row r="36" spans="1:13">
      <c r="A36" s="13" t="s">
        <v>86</v>
      </c>
      <c r="B36" s="11"/>
      <c r="C36" s="11"/>
      <c r="D36" s="11">
        <v>399620</v>
      </c>
      <c r="E36" s="11">
        <v>401942</v>
      </c>
      <c r="F36" s="11">
        <v>510098</v>
      </c>
      <c r="G36" s="11">
        <v>514726</v>
      </c>
      <c r="H36" s="11">
        <v>520061</v>
      </c>
      <c r="I36" s="11">
        <v>525212</v>
      </c>
      <c r="J36" s="11">
        <v>532107</v>
      </c>
      <c r="K36" s="11">
        <v>536461</v>
      </c>
      <c r="L36" s="11">
        <v>541086</v>
      </c>
      <c r="M36" s="11">
        <v>544362</v>
      </c>
    </row>
    <row r="37" spans="1:13">
      <c r="A37" s="13" t="s">
        <v>91</v>
      </c>
      <c r="B37">
        <v>30555683</v>
      </c>
      <c r="C37">
        <v>30713261</v>
      </c>
      <c r="D37">
        <v>31752268</v>
      </c>
      <c r="E37">
        <v>31985641</v>
      </c>
      <c r="F37">
        <v>32878455</v>
      </c>
      <c r="G37">
        <v>32426768</v>
      </c>
      <c r="H37">
        <v>32693312</v>
      </c>
      <c r="I37">
        <v>33324291</v>
      </c>
      <c r="J37">
        <v>33627178</v>
      </c>
      <c r="K37">
        <v>33896726</v>
      </c>
      <c r="L37">
        <v>34082498</v>
      </c>
      <c r="M37">
        <v>34206582</v>
      </c>
    </row>
    <row r="47" spans="1:13">
      <c r="A47" s="9" t="s">
        <v>76</v>
      </c>
      <c r="B47" t="s">
        <v>104</v>
      </c>
    </row>
    <row r="49" spans="1:13">
      <c r="A49" s="9" t="s">
        <v>96</v>
      </c>
      <c r="B49" s="9" t="s">
        <v>103</v>
      </c>
    </row>
    <row r="50" spans="1:13">
      <c r="A50" s="9" t="s">
        <v>90</v>
      </c>
      <c r="B50" s="20">
        <v>44589</v>
      </c>
      <c r="C50" s="20">
        <v>44617</v>
      </c>
      <c r="D50" s="20">
        <v>44645</v>
      </c>
      <c r="E50" s="20">
        <v>44679</v>
      </c>
      <c r="F50" s="20">
        <v>44708</v>
      </c>
      <c r="G50" s="20">
        <v>44739</v>
      </c>
      <c r="H50" s="20">
        <v>44771</v>
      </c>
      <c r="I50" s="20">
        <v>44802</v>
      </c>
      <c r="J50" s="20">
        <v>44834</v>
      </c>
      <c r="K50" s="20">
        <v>44862</v>
      </c>
      <c r="L50" s="20">
        <v>44893</v>
      </c>
      <c r="M50" s="20">
        <v>44914</v>
      </c>
    </row>
    <row r="51" spans="1:13">
      <c r="A51" s="13" t="s">
        <v>7</v>
      </c>
      <c r="B51" s="11">
        <v>8321413</v>
      </c>
      <c r="C51" s="11">
        <v>8425861</v>
      </c>
      <c r="D51" s="11">
        <v>8616348</v>
      </c>
      <c r="E51" s="11">
        <v>8683649</v>
      </c>
      <c r="F51" s="11">
        <v>8742530</v>
      </c>
      <c r="G51" s="11">
        <v>8823285</v>
      </c>
      <c r="H51" s="11">
        <v>8902520</v>
      </c>
      <c r="I51" s="11">
        <v>8982082</v>
      </c>
      <c r="J51" s="11">
        <v>9092227</v>
      </c>
      <c r="K51" s="11">
        <v>9176550</v>
      </c>
      <c r="L51" s="11">
        <v>9240574</v>
      </c>
      <c r="M51" s="11">
        <v>9283132</v>
      </c>
    </row>
    <row r="52" spans="1:13">
      <c r="A52" s="13" t="s">
        <v>2</v>
      </c>
      <c r="B52" s="11">
        <v>7719740</v>
      </c>
      <c r="C52" s="11">
        <v>7823131</v>
      </c>
      <c r="D52" s="11">
        <v>8096763</v>
      </c>
      <c r="E52" s="11">
        <v>8190208</v>
      </c>
      <c r="F52" s="11">
        <v>8841697</v>
      </c>
      <c r="G52" s="11">
        <v>8272128</v>
      </c>
      <c r="H52" s="11">
        <v>8338172</v>
      </c>
      <c r="I52" s="11">
        <v>8223461</v>
      </c>
      <c r="J52" s="11">
        <v>8515594</v>
      </c>
      <c r="K52" s="11">
        <v>8623566</v>
      </c>
      <c r="L52" s="11">
        <v>8657567</v>
      </c>
      <c r="M52" s="11">
        <v>8684187</v>
      </c>
    </row>
    <row r="53" spans="1:13">
      <c r="A53" s="13" t="s">
        <v>10</v>
      </c>
      <c r="B53" s="11">
        <v>7674311</v>
      </c>
      <c r="C53" s="11">
        <v>7720310</v>
      </c>
      <c r="D53" s="11">
        <v>7760629</v>
      </c>
      <c r="E53" s="11">
        <v>7807830</v>
      </c>
      <c r="F53" s="11">
        <v>7847917</v>
      </c>
      <c r="G53" s="11">
        <v>7891065</v>
      </c>
      <c r="H53" s="11">
        <v>7942908</v>
      </c>
      <c r="I53" s="11">
        <v>7993758</v>
      </c>
      <c r="J53" s="11">
        <v>8058107</v>
      </c>
      <c r="K53" s="11">
        <v>8098585</v>
      </c>
      <c r="L53" s="11">
        <v>8140167</v>
      </c>
      <c r="M53" s="11">
        <v>8166522</v>
      </c>
    </row>
    <row r="54" spans="1:13">
      <c r="A54" s="13" t="s">
        <v>3</v>
      </c>
      <c r="B54" s="11">
        <v>5334658</v>
      </c>
      <c r="C54" s="11">
        <v>5251813</v>
      </c>
      <c r="D54" s="11">
        <v>5353297</v>
      </c>
      <c r="E54" s="11">
        <v>5363592</v>
      </c>
      <c r="F54" s="11">
        <v>5371452</v>
      </c>
      <c r="G54" s="11">
        <v>5383881</v>
      </c>
      <c r="H54" s="11">
        <v>5397857</v>
      </c>
      <c r="I54" s="11">
        <v>5623878</v>
      </c>
      <c r="J54" s="11">
        <v>5429806</v>
      </c>
      <c r="K54" s="11">
        <v>5441602</v>
      </c>
      <c r="L54" s="11">
        <v>5462796</v>
      </c>
      <c r="M54" s="11">
        <v>5471826</v>
      </c>
    </row>
    <row r="55" spans="1:13">
      <c r="A55" s="13" t="s">
        <v>18</v>
      </c>
      <c r="B55" s="11">
        <v>785425</v>
      </c>
      <c r="C55" s="11">
        <v>767368</v>
      </c>
      <c r="D55" s="11">
        <v>786087</v>
      </c>
      <c r="E55" s="11">
        <v>793821</v>
      </c>
      <c r="F55" s="11">
        <v>815774</v>
      </c>
      <c r="G55" s="11">
        <v>787553</v>
      </c>
      <c r="H55" s="11">
        <v>831633</v>
      </c>
      <c r="I55" s="11">
        <v>1210947</v>
      </c>
      <c r="J55" s="11">
        <v>1225978</v>
      </c>
      <c r="K55" s="11">
        <v>1238805</v>
      </c>
      <c r="L55" s="11">
        <v>1253199</v>
      </c>
      <c r="M55" s="11">
        <v>1264226</v>
      </c>
    </row>
    <row r="56" spans="1:13">
      <c r="A56" s="13" t="s">
        <v>16</v>
      </c>
      <c r="B56" s="11">
        <v>720136</v>
      </c>
      <c r="C56" s="11">
        <v>724778</v>
      </c>
      <c r="D56" s="11">
        <v>739524</v>
      </c>
      <c r="E56" s="11">
        <v>744599</v>
      </c>
      <c r="F56" s="11">
        <v>748987</v>
      </c>
      <c r="G56" s="11">
        <v>754130</v>
      </c>
      <c r="H56" s="11">
        <v>760161</v>
      </c>
      <c r="I56" s="11">
        <v>764953</v>
      </c>
      <c r="J56" s="11">
        <v>773359</v>
      </c>
      <c r="K56" s="11">
        <v>781157</v>
      </c>
      <c r="L56" s="11">
        <v>787109</v>
      </c>
      <c r="M56" s="11">
        <v>792327</v>
      </c>
    </row>
    <row r="57" spans="1:13">
      <c r="A57" s="13" t="s">
        <v>86</v>
      </c>
      <c r="B57" s="11"/>
      <c r="C57" s="11"/>
      <c r="D57" s="11">
        <v>399620</v>
      </c>
      <c r="E57" s="11">
        <v>401942</v>
      </c>
      <c r="F57" s="11">
        <v>510098</v>
      </c>
      <c r="G57" s="11">
        <v>514726</v>
      </c>
      <c r="H57" s="11">
        <v>520061</v>
      </c>
      <c r="I57" s="11">
        <v>525212</v>
      </c>
      <c r="J57" s="11">
        <v>532107</v>
      </c>
      <c r="K57" s="11">
        <v>536461</v>
      </c>
      <c r="L57" s="11">
        <v>541086</v>
      </c>
      <c r="M57" s="11">
        <v>544362</v>
      </c>
    </row>
    <row r="58" spans="1:13">
      <c r="A58" s="13" t="s">
        <v>91</v>
      </c>
      <c r="B58">
        <v>30555683</v>
      </c>
      <c r="C58">
        <v>30713261</v>
      </c>
      <c r="D58">
        <v>31752268</v>
      </c>
      <c r="E58">
        <v>31985641</v>
      </c>
      <c r="F58">
        <v>32878455</v>
      </c>
      <c r="G58">
        <v>32426768</v>
      </c>
      <c r="H58">
        <v>32693312</v>
      </c>
      <c r="I58">
        <v>33324291</v>
      </c>
      <c r="J58">
        <v>33627178</v>
      </c>
      <c r="K58">
        <v>33896726</v>
      </c>
      <c r="L58">
        <v>34082498</v>
      </c>
      <c r="M58">
        <v>34206582</v>
      </c>
    </row>
    <row r="69" spans="1:13">
      <c r="A69" s="9" t="s">
        <v>76</v>
      </c>
      <c r="B69" t="s">
        <v>104</v>
      </c>
    </row>
    <row r="71" spans="1:13">
      <c r="A71" s="9" t="s">
        <v>96</v>
      </c>
      <c r="B71" s="9" t="s">
        <v>103</v>
      </c>
    </row>
    <row r="72" spans="1:13">
      <c r="A72" s="9" t="s">
        <v>90</v>
      </c>
      <c r="B72" s="20">
        <v>44589</v>
      </c>
      <c r="C72" s="20">
        <v>44617</v>
      </c>
      <c r="D72" s="20">
        <v>44645</v>
      </c>
      <c r="E72" s="20">
        <v>44679</v>
      </c>
      <c r="F72" s="20">
        <v>44708</v>
      </c>
      <c r="G72" s="20">
        <v>44739</v>
      </c>
      <c r="H72" s="20">
        <v>44771</v>
      </c>
      <c r="I72" s="20">
        <v>44802</v>
      </c>
      <c r="J72" s="20">
        <v>44834</v>
      </c>
      <c r="K72" s="20">
        <v>44862</v>
      </c>
      <c r="L72" s="20">
        <v>44893</v>
      </c>
      <c r="M72" s="20">
        <v>44914</v>
      </c>
    </row>
    <row r="73" spans="1:13">
      <c r="A73" s="13" t="s">
        <v>7</v>
      </c>
      <c r="B73" s="11">
        <v>8321413</v>
      </c>
      <c r="C73" s="11">
        <v>8425861</v>
      </c>
      <c r="D73" s="11">
        <v>8616348</v>
      </c>
      <c r="E73" s="11">
        <v>8683649</v>
      </c>
      <c r="F73" s="11">
        <v>8742530</v>
      </c>
      <c r="G73" s="11">
        <v>8823285</v>
      </c>
      <c r="H73" s="11">
        <v>8902520</v>
      </c>
      <c r="I73" s="11">
        <v>8982082</v>
      </c>
      <c r="J73" s="11">
        <v>9092227</v>
      </c>
      <c r="K73" s="11">
        <v>9176550</v>
      </c>
      <c r="L73" s="11">
        <v>9240574</v>
      </c>
      <c r="M73" s="11">
        <v>9283132</v>
      </c>
    </row>
    <row r="74" spans="1:13">
      <c r="A74" s="13" t="s">
        <v>2</v>
      </c>
      <c r="B74" s="11">
        <v>7719740</v>
      </c>
      <c r="C74" s="11">
        <v>7823131</v>
      </c>
      <c r="D74" s="11">
        <v>8096763</v>
      </c>
      <c r="E74" s="11">
        <v>8190208</v>
      </c>
      <c r="F74" s="11">
        <v>8841697</v>
      </c>
      <c r="G74" s="11">
        <v>8272128</v>
      </c>
      <c r="H74" s="11">
        <v>8338172</v>
      </c>
      <c r="I74" s="11">
        <v>8223461</v>
      </c>
      <c r="J74" s="11">
        <v>8515594</v>
      </c>
      <c r="K74" s="11">
        <v>8623566</v>
      </c>
      <c r="L74" s="11">
        <v>8657567</v>
      </c>
      <c r="M74" s="11">
        <v>8684187</v>
      </c>
    </row>
    <row r="75" spans="1:13">
      <c r="A75" s="13" t="s">
        <v>10</v>
      </c>
      <c r="B75" s="11">
        <v>7674311</v>
      </c>
      <c r="C75" s="11">
        <v>7720310</v>
      </c>
      <c r="D75" s="11">
        <v>7760629</v>
      </c>
      <c r="E75" s="11">
        <v>7807830</v>
      </c>
      <c r="F75" s="11">
        <v>7847917</v>
      </c>
      <c r="G75" s="11">
        <v>7891065</v>
      </c>
      <c r="H75" s="11">
        <v>7942908</v>
      </c>
      <c r="I75" s="11">
        <v>7993758</v>
      </c>
      <c r="J75" s="11">
        <v>8058107</v>
      </c>
      <c r="K75" s="11">
        <v>8098585</v>
      </c>
      <c r="L75" s="11">
        <v>8140167</v>
      </c>
      <c r="M75" s="11">
        <v>8166522</v>
      </c>
    </row>
    <row r="76" spans="1:13">
      <c r="A76" s="13" t="s">
        <v>3</v>
      </c>
      <c r="B76" s="11">
        <v>5334658</v>
      </c>
      <c r="C76" s="11">
        <v>5251813</v>
      </c>
      <c r="D76" s="11">
        <v>5353297</v>
      </c>
      <c r="E76" s="11">
        <v>5363592</v>
      </c>
      <c r="F76" s="11">
        <v>5371452</v>
      </c>
      <c r="G76" s="11">
        <v>5383881</v>
      </c>
      <c r="H76" s="11">
        <v>5397857</v>
      </c>
      <c r="I76" s="11">
        <v>5623878</v>
      </c>
      <c r="J76" s="11">
        <v>5429806</v>
      </c>
      <c r="K76" s="11">
        <v>5441602</v>
      </c>
      <c r="L76" s="11">
        <v>5462796</v>
      </c>
      <c r="M76" s="11">
        <v>5471826</v>
      </c>
    </row>
    <row r="77" spans="1:13">
      <c r="A77" s="13" t="s">
        <v>18</v>
      </c>
      <c r="B77" s="11">
        <v>785425</v>
      </c>
      <c r="C77" s="11">
        <v>767368</v>
      </c>
      <c r="D77" s="11">
        <v>786087</v>
      </c>
      <c r="E77" s="11">
        <v>793821</v>
      </c>
      <c r="F77" s="11">
        <v>815774</v>
      </c>
      <c r="G77" s="11">
        <v>787553</v>
      </c>
      <c r="H77" s="11">
        <v>831633</v>
      </c>
      <c r="I77" s="11">
        <v>1210947</v>
      </c>
      <c r="J77" s="11">
        <v>1225978</v>
      </c>
      <c r="K77" s="11">
        <v>1238805</v>
      </c>
      <c r="L77" s="11">
        <v>1253199</v>
      </c>
      <c r="M77" s="11">
        <v>1264226</v>
      </c>
    </row>
    <row r="78" spans="1:13">
      <c r="A78" s="13" t="s">
        <v>16</v>
      </c>
      <c r="B78" s="11">
        <v>720136</v>
      </c>
      <c r="C78" s="11">
        <v>724778</v>
      </c>
      <c r="D78" s="11">
        <v>739524</v>
      </c>
      <c r="E78" s="11">
        <v>744599</v>
      </c>
      <c r="F78" s="11">
        <v>748987</v>
      </c>
      <c r="G78" s="11">
        <v>754130</v>
      </c>
      <c r="H78" s="11">
        <v>760161</v>
      </c>
      <c r="I78" s="11">
        <v>764953</v>
      </c>
      <c r="J78" s="11">
        <v>773359</v>
      </c>
      <c r="K78" s="11">
        <v>781157</v>
      </c>
      <c r="L78" s="11">
        <v>787109</v>
      </c>
      <c r="M78" s="11">
        <v>792327</v>
      </c>
    </row>
    <row r="79" spans="1:13">
      <c r="A79" s="13" t="s">
        <v>86</v>
      </c>
      <c r="B79" s="11"/>
      <c r="C79" s="11"/>
      <c r="D79" s="11">
        <v>399620</v>
      </c>
      <c r="E79" s="11">
        <v>401942</v>
      </c>
      <c r="F79" s="11">
        <v>510098</v>
      </c>
      <c r="G79" s="11">
        <v>514726</v>
      </c>
      <c r="H79" s="11">
        <v>520061</v>
      </c>
      <c r="I79" s="11">
        <v>525212</v>
      </c>
      <c r="J79" s="11">
        <v>532107</v>
      </c>
      <c r="K79" s="11">
        <v>536461</v>
      </c>
      <c r="L79" s="11">
        <v>541086</v>
      </c>
      <c r="M79" s="11">
        <v>544362</v>
      </c>
    </row>
    <row r="80" spans="1:13">
      <c r="A80" s="13" t="s">
        <v>91</v>
      </c>
      <c r="B80">
        <v>30555683</v>
      </c>
      <c r="C80">
        <v>30713261</v>
      </c>
      <c r="D80">
        <v>31752268</v>
      </c>
      <c r="E80">
        <v>31985641</v>
      </c>
      <c r="F80">
        <v>32878455</v>
      </c>
      <c r="G80">
        <v>32426768</v>
      </c>
      <c r="H80">
        <v>32693312</v>
      </c>
      <c r="I80">
        <v>33324291</v>
      </c>
      <c r="J80">
        <v>33627178</v>
      </c>
      <c r="K80">
        <v>33896726</v>
      </c>
      <c r="L80">
        <v>34082498</v>
      </c>
      <c r="M80">
        <v>34206582</v>
      </c>
    </row>
    <row r="89" spans="1:13">
      <c r="A89" s="9" t="s">
        <v>76</v>
      </c>
      <c r="B89" t="s">
        <v>104</v>
      </c>
    </row>
    <row r="91" spans="1:13">
      <c r="A91" s="9" t="s">
        <v>96</v>
      </c>
      <c r="B91" s="9" t="s">
        <v>103</v>
      </c>
    </row>
    <row r="92" spans="1:13">
      <c r="A92" s="9" t="s">
        <v>90</v>
      </c>
      <c r="B92" s="20">
        <v>44589</v>
      </c>
      <c r="C92" s="20">
        <v>44617</v>
      </c>
      <c r="D92" s="20">
        <v>44645</v>
      </c>
      <c r="E92" s="20">
        <v>44679</v>
      </c>
      <c r="F92" s="20">
        <v>44708</v>
      </c>
      <c r="G92" s="20">
        <v>44739</v>
      </c>
      <c r="H92" s="20">
        <v>44771</v>
      </c>
      <c r="I92" s="20">
        <v>44802</v>
      </c>
      <c r="J92" s="20">
        <v>44834</v>
      </c>
      <c r="K92" s="20">
        <v>44862</v>
      </c>
      <c r="L92" s="20">
        <v>44893</v>
      </c>
      <c r="M92" s="20">
        <v>44914</v>
      </c>
    </row>
    <row r="93" spans="1:13">
      <c r="A93" s="13" t="s">
        <v>7</v>
      </c>
      <c r="B93" s="11">
        <v>8321413</v>
      </c>
      <c r="C93" s="11">
        <v>8425861</v>
      </c>
      <c r="D93" s="11">
        <v>8616348</v>
      </c>
      <c r="E93" s="11">
        <v>8683649</v>
      </c>
      <c r="F93" s="11">
        <v>8742530</v>
      </c>
      <c r="G93" s="11">
        <v>8823285</v>
      </c>
      <c r="H93" s="11">
        <v>8902520</v>
      </c>
      <c r="I93" s="11">
        <v>8982082</v>
      </c>
      <c r="J93" s="11">
        <v>9092227</v>
      </c>
      <c r="K93" s="11">
        <v>9176550</v>
      </c>
      <c r="L93" s="11">
        <v>9240574</v>
      </c>
      <c r="M93" s="11">
        <v>9283132</v>
      </c>
    </row>
    <row r="94" spans="1:13">
      <c r="A94" s="13" t="s">
        <v>2</v>
      </c>
      <c r="B94" s="11">
        <v>7719740</v>
      </c>
      <c r="C94" s="11">
        <v>7823131</v>
      </c>
      <c r="D94" s="11">
        <v>8096763</v>
      </c>
      <c r="E94" s="11">
        <v>8190208</v>
      </c>
      <c r="F94" s="11">
        <v>8841697</v>
      </c>
      <c r="G94" s="11">
        <v>8272128</v>
      </c>
      <c r="H94" s="11">
        <v>8338172</v>
      </c>
      <c r="I94" s="11">
        <v>8223461</v>
      </c>
      <c r="J94" s="11">
        <v>8515594</v>
      </c>
      <c r="K94" s="11">
        <v>8623566</v>
      </c>
      <c r="L94" s="11">
        <v>8657567</v>
      </c>
      <c r="M94" s="11">
        <v>8684187</v>
      </c>
    </row>
    <row r="95" spans="1:13">
      <c r="A95" s="13" t="s">
        <v>10</v>
      </c>
      <c r="B95" s="11">
        <v>7674311</v>
      </c>
      <c r="C95" s="11">
        <v>7720310</v>
      </c>
      <c r="D95" s="11">
        <v>7760629</v>
      </c>
      <c r="E95" s="11">
        <v>7807830</v>
      </c>
      <c r="F95" s="11">
        <v>7847917</v>
      </c>
      <c r="G95" s="11">
        <v>7891065</v>
      </c>
      <c r="H95" s="11">
        <v>7942908</v>
      </c>
      <c r="I95" s="11">
        <v>7993758</v>
      </c>
      <c r="J95" s="11">
        <v>8058107</v>
      </c>
      <c r="K95" s="11">
        <v>8098585</v>
      </c>
      <c r="L95" s="11">
        <v>8140167</v>
      </c>
      <c r="M95" s="11">
        <v>8166522</v>
      </c>
    </row>
    <row r="96" spans="1:13">
      <c r="A96" s="13" t="s">
        <v>3</v>
      </c>
      <c r="B96" s="11">
        <v>5334658</v>
      </c>
      <c r="C96" s="11">
        <v>5251813</v>
      </c>
      <c r="D96" s="11">
        <v>5353297</v>
      </c>
      <c r="E96" s="11">
        <v>5363592</v>
      </c>
      <c r="F96" s="11">
        <v>5371452</v>
      </c>
      <c r="G96" s="11">
        <v>5383881</v>
      </c>
      <c r="H96" s="11">
        <v>5397857</v>
      </c>
      <c r="I96" s="11">
        <v>5623878</v>
      </c>
      <c r="J96" s="11">
        <v>5429806</v>
      </c>
      <c r="K96" s="11">
        <v>5441602</v>
      </c>
      <c r="L96" s="11">
        <v>5462796</v>
      </c>
      <c r="M96" s="11">
        <v>5471826</v>
      </c>
    </row>
    <row r="97" spans="1:13">
      <c r="A97" s="13" t="s">
        <v>18</v>
      </c>
      <c r="B97" s="11">
        <v>785425</v>
      </c>
      <c r="C97" s="11">
        <v>767368</v>
      </c>
      <c r="D97" s="11">
        <v>786087</v>
      </c>
      <c r="E97" s="11">
        <v>793821</v>
      </c>
      <c r="F97" s="11">
        <v>815774</v>
      </c>
      <c r="G97" s="11">
        <v>787553</v>
      </c>
      <c r="H97" s="11">
        <v>831633</v>
      </c>
      <c r="I97" s="11">
        <v>1210947</v>
      </c>
      <c r="J97" s="11">
        <v>1225978</v>
      </c>
      <c r="K97" s="11">
        <v>1238805</v>
      </c>
      <c r="L97" s="11">
        <v>1253199</v>
      </c>
      <c r="M97" s="11">
        <v>1264226</v>
      </c>
    </row>
    <row r="98" spans="1:13">
      <c r="A98" s="13" t="s">
        <v>16</v>
      </c>
      <c r="B98" s="11">
        <v>720136</v>
      </c>
      <c r="C98" s="11">
        <v>724778</v>
      </c>
      <c r="D98" s="11">
        <v>739524</v>
      </c>
      <c r="E98" s="11">
        <v>744599</v>
      </c>
      <c r="F98" s="11">
        <v>748987</v>
      </c>
      <c r="G98" s="11">
        <v>754130</v>
      </c>
      <c r="H98" s="11">
        <v>760161</v>
      </c>
      <c r="I98" s="11">
        <v>764953</v>
      </c>
      <c r="J98" s="11">
        <v>773359</v>
      </c>
      <c r="K98" s="11">
        <v>781157</v>
      </c>
      <c r="L98" s="11">
        <v>787109</v>
      </c>
      <c r="M98" s="11">
        <v>792327</v>
      </c>
    </row>
    <row r="99" spans="1:13">
      <c r="A99" s="13" t="s">
        <v>86</v>
      </c>
      <c r="B99" s="11"/>
      <c r="C99" s="11"/>
      <c r="D99" s="11">
        <v>399620</v>
      </c>
      <c r="E99" s="11">
        <v>401942</v>
      </c>
      <c r="F99" s="11">
        <v>510098</v>
      </c>
      <c r="G99" s="11">
        <v>514726</v>
      </c>
      <c r="H99" s="11">
        <v>520061</v>
      </c>
      <c r="I99" s="11">
        <v>525212</v>
      </c>
      <c r="J99" s="11">
        <v>532107</v>
      </c>
      <c r="K99" s="11">
        <v>536461</v>
      </c>
      <c r="L99" s="11">
        <v>541086</v>
      </c>
      <c r="M99" s="11">
        <v>544362</v>
      </c>
    </row>
    <row r="100" spans="1:13">
      <c r="A100" s="13" t="s">
        <v>91</v>
      </c>
      <c r="B100">
        <v>30555683</v>
      </c>
      <c r="C100">
        <v>30713261</v>
      </c>
      <c r="D100">
        <v>31752268</v>
      </c>
      <c r="E100">
        <v>31985641</v>
      </c>
      <c r="F100">
        <v>32878455</v>
      </c>
      <c r="G100">
        <v>32426768</v>
      </c>
      <c r="H100">
        <v>32693312</v>
      </c>
      <c r="I100">
        <v>33324291</v>
      </c>
      <c r="J100">
        <v>33627178</v>
      </c>
      <c r="K100">
        <v>33896726</v>
      </c>
      <c r="L100">
        <v>34082498</v>
      </c>
      <c r="M100">
        <v>34206582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DE75D-DFF3-437B-988A-F3F266B299A1}">
  <dimension ref="A3:M112"/>
  <sheetViews>
    <sheetView workbookViewId="0">
      <selection activeCell="J28" sqref="J28"/>
    </sheetView>
  </sheetViews>
  <sheetFormatPr defaultRowHeight="12.5"/>
  <cols>
    <col min="1" max="1" width="42.81640625" bestFit="1" customWidth="1"/>
    <col min="2" max="2" width="15.90625" bestFit="1" customWidth="1"/>
    <col min="3" max="13" width="8.81640625" bestFit="1" customWidth="1"/>
    <col min="14" max="14" width="26.7265625" bestFit="1" customWidth="1"/>
    <col min="15" max="15" width="19.36328125" bestFit="1" customWidth="1"/>
    <col min="16" max="16" width="13.54296875" bestFit="1" customWidth="1"/>
    <col min="17" max="17" width="10.81640625" bestFit="1" customWidth="1"/>
    <col min="18" max="18" width="19.453125" bestFit="1" customWidth="1"/>
    <col min="19" max="19" width="15.36328125" bestFit="1" customWidth="1"/>
    <col min="20" max="20" width="18.26953125" bestFit="1" customWidth="1"/>
    <col min="21" max="21" width="17.6328125" bestFit="1" customWidth="1"/>
    <col min="22" max="22" width="15.7265625" bestFit="1" customWidth="1"/>
    <col min="23" max="23" width="9.6328125" bestFit="1" customWidth="1"/>
    <col min="24" max="24" width="18.90625" bestFit="1" customWidth="1"/>
    <col min="25" max="25" width="13" bestFit="1" customWidth="1"/>
    <col min="26" max="26" width="17.54296875" bestFit="1" customWidth="1"/>
    <col min="27" max="27" width="13.90625" bestFit="1" customWidth="1"/>
    <col min="28" max="28" width="16.1796875" bestFit="1" customWidth="1"/>
    <col min="29" max="29" width="7.81640625" bestFit="1" customWidth="1"/>
    <col min="30" max="30" width="17.6328125" bestFit="1" customWidth="1"/>
    <col min="31" max="31" width="18.36328125" bestFit="1" customWidth="1"/>
    <col min="32" max="32" width="14.26953125" bestFit="1" customWidth="1"/>
    <col min="33" max="33" width="7.81640625" bestFit="1" customWidth="1"/>
    <col min="34" max="34" width="10.90625" bestFit="1" customWidth="1"/>
    <col min="35" max="35" width="15.1796875" bestFit="1" customWidth="1"/>
    <col min="36" max="36" width="7.81640625" bestFit="1" customWidth="1"/>
    <col min="37" max="37" width="10.81640625" bestFit="1" customWidth="1"/>
    <col min="38" max="38" width="7.36328125" bestFit="1" customWidth="1"/>
    <col min="39" max="39" width="20.90625" bestFit="1" customWidth="1"/>
    <col min="40" max="40" width="11.6328125" bestFit="1" customWidth="1"/>
    <col min="41" max="41" width="12" bestFit="1" customWidth="1"/>
    <col min="42" max="42" width="6.81640625" bestFit="1" customWidth="1"/>
    <col min="43" max="43" width="9.453125" bestFit="1" customWidth="1"/>
    <col min="44" max="44" width="13.90625" bestFit="1" customWidth="1"/>
    <col min="45" max="45" width="21.36328125" bestFit="1" customWidth="1"/>
    <col min="46" max="46" width="26.08984375" bestFit="1" customWidth="1"/>
    <col min="47" max="47" width="32.54296875" bestFit="1" customWidth="1"/>
    <col min="48" max="48" width="15.6328125" bestFit="1" customWidth="1"/>
    <col min="49" max="49" width="9.7265625" bestFit="1" customWidth="1"/>
    <col min="50" max="50" width="23.36328125" bestFit="1" customWidth="1"/>
    <col min="51" max="51" width="30.7265625" bestFit="1" customWidth="1"/>
    <col min="52" max="52" width="25.36328125" bestFit="1" customWidth="1"/>
    <col min="53" max="53" width="8.81640625" bestFit="1" customWidth="1"/>
    <col min="54" max="54" width="31.36328125" bestFit="1" customWidth="1"/>
    <col min="55" max="55" width="27.26953125" bestFit="1" customWidth="1"/>
    <col min="56" max="56" width="37.81640625" bestFit="1" customWidth="1"/>
    <col min="57" max="57" width="27.7265625" bestFit="1" customWidth="1"/>
    <col min="58" max="58" width="9.26953125" bestFit="1" customWidth="1"/>
    <col min="59" max="59" width="41.6328125" bestFit="1" customWidth="1"/>
    <col min="60" max="60" width="33.81640625" bestFit="1" customWidth="1"/>
    <col min="61" max="61" width="28.08984375" bestFit="1" customWidth="1"/>
    <col min="62" max="62" width="31.81640625" bestFit="1" customWidth="1"/>
    <col min="63" max="63" width="8.1796875" bestFit="1" customWidth="1"/>
    <col min="64" max="64" width="7.08984375" bestFit="1" customWidth="1"/>
    <col min="65" max="65" width="11" bestFit="1" customWidth="1"/>
    <col min="66" max="66" width="18.26953125" bestFit="1" customWidth="1"/>
    <col min="67" max="67" width="19.26953125" bestFit="1" customWidth="1"/>
    <col min="68" max="68" width="28.81640625" bestFit="1" customWidth="1"/>
    <col min="69" max="69" width="19.81640625" bestFit="1" customWidth="1"/>
    <col min="70" max="70" width="18.453125" bestFit="1" customWidth="1"/>
    <col min="71" max="71" width="25.54296875" bestFit="1" customWidth="1"/>
    <col min="72" max="72" width="41.54296875" bestFit="1" customWidth="1"/>
    <col min="73" max="73" width="10" bestFit="1" customWidth="1"/>
    <col min="74" max="74" width="11.54296875" bestFit="1" customWidth="1"/>
    <col min="75" max="75" width="17.26953125" bestFit="1" customWidth="1"/>
    <col min="76" max="76" width="14.6328125" bestFit="1" customWidth="1"/>
    <col min="77" max="77" width="7.36328125" bestFit="1" customWidth="1"/>
    <col min="78" max="78" width="11.90625" bestFit="1" customWidth="1"/>
    <col min="79" max="79" width="14.81640625" bestFit="1" customWidth="1"/>
    <col min="80" max="80" width="15" bestFit="1" customWidth="1"/>
    <col min="81" max="81" width="24.1796875" bestFit="1" customWidth="1"/>
    <col min="82" max="82" width="31.1796875" bestFit="1" customWidth="1"/>
    <col min="83" max="83" width="19.453125" bestFit="1" customWidth="1"/>
    <col min="84" max="84" width="27" bestFit="1" customWidth="1"/>
    <col min="85" max="85" width="20.26953125" bestFit="1" customWidth="1"/>
    <col min="86" max="86" width="26.7265625" bestFit="1" customWidth="1"/>
    <col min="87" max="87" width="19.36328125" bestFit="1" customWidth="1"/>
    <col min="88" max="88" width="13.54296875" bestFit="1" customWidth="1"/>
    <col min="89" max="89" width="10.81640625" bestFit="1" customWidth="1"/>
    <col min="90" max="90" width="19.453125" bestFit="1" customWidth="1"/>
    <col min="91" max="91" width="15.36328125" bestFit="1" customWidth="1"/>
    <col min="92" max="92" width="18.26953125" bestFit="1" customWidth="1"/>
    <col min="93" max="93" width="17.6328125" bestFit="1" customWidth="1"/>
    <col min="94" max="94" width="15.7265625" bestFit="1" customWidth="1"/>
    <col min="95" max="95" width="9.6328125" bestFit="1" customWidth="1"/>
    <col min="96" max="96" width="18.90625" bestFit="1" customWidth="1"/>
    <col min="97" max="97" width="13" bestFit="1" customWidth="1"/>
    <col min="98" max="98" width="17.54296875" bestFit="1" customWidth="1"/>
    <col min="99" max="99" width="13.90625" bestFit="1" customWidth="1"/>
    <col min="100" max="100" width="16.1796875" bestFit="1" customWidth="1"/>
    <col min="101" max="101" width="7.81640625" bestFit="1" customWidth="1"/>
    <col min="102" max="102" width="17.6328125" bestFit="1" customWidth="1"/>
    <col min="103" max="103" width="18.36328125" bestFit="1" customWidth="1"/>
    <col min="104" max="104" width="14.26953125" bestFit="1" customWidth="1"/>
    <col min="105" max="105" width="6.81640625" bestFit="1" customWidth="1"/>
    <col min="106" max="106" width="10.90625" bestFit="1" customWidth="1"/>
    <col min="107" max="107" width="15.1796875" bestFit="1" customWidth="1"/>
    <col min="108" max="108" width="7.81640625" bestFit="1" customWidth="1"/>
    <col min="109" max="109" width="10.81640625" bestFit="1" customWidth="1"/>
    <col min="110" max="110" width="7.36328125" bestFit="1" customWidth="1"/>
    <col min="111" max="111" width="20.90625" bestFit="1" customWidth="1"/>
    <col min="112" max="112" width="11.6328125" bestFit="1" customWidth="1"/>
    <col min="113" max="113" width="12" bestFit="1" customWidth="1"/>
    <col min="114" max="114" width="6.81640625" bestFit="1" customWidth="1"/>
    <col min="115" max="115" width="9.453125" bestFit="1" customWidth="1"/>
    <col min="116" max="116" width="13.90625" bestFit="1" customWidth="1"/>
    <col min="117" max="117" width="21.36328125" bestFit="1" customWidth="1"/>
    <col min="118" max="118" width="26.08984375" bestFit="1" customWidth="1"/>
    <col min="119" max="119" width="32.54296875" bestFit="1" customWidth="1"/>
    <col min="120" max="120" width="15.6328125" bestFit="1" customWidth="1"/>
    <col min="121" max="121" width="9.7265625" bestFit="1" customWidth="1"/>
    <col min="122" max="122" width="23.36328125" bestFit="1" customWidth="1"/>
    <col min="123" max="123" width="30.7265625" bestFit="1" customWidth="1"/>
    <col min="124" max="124" width="25.36328125" bestFit="1" customWidth="1"/>
    <col min="125" max="125" width="8.81640625" bestFit="1" customWidth="1"/>
    <col min="126" max="126" width="31.36328125" bestFit="1" customWidth="1"/>
    <col min="127" max="127" width="27.26953125" bestFit="1" customWidth="1"/>
    <col min="128" max="128" width="5.90625" bestFit="1" customWidth="1"/>
    <col min="129" max="129" width="37.81640625" bestFit="1" customWidth="1"/>
    <col min="130" max="130" width="27.7265625" bestFit="1" customWidth="1"/>
    <col min="131" max="131" width="9.26953125" bestFit="1" customWidth="1"/>
    <col min="132" max="132" width="41.6328125" bestFit="1" customWidth="1"/>
    <col min="133" max="133" width="33.81640625" bestFit="1" customWidth="1"/>
    <col min="134" max="134" width="28.08984375" bestFit="1" customWidth="1"/>
    <col min="135" max="135" width="31.81640625" bestFit="1" customWidth="1"/>
    <col min="136" max="136" width="8.1796875" bestFit="1" customWidth="1"/>
    <col min="137" max="137" width="7.08984375" bestFit="1" customWidth="1"/>
    <col min="138" max="138" width="11" bestFit="1" customWidth="1"/>
    <col min="139" max="139" width="18.26953125" bestFit="1" customWidth="1"/>
    <col min="140" max="140" width="19.26953125" bestFit="1" customWidth="1"/>
    <col min="141" max="141" width="28.81640625" bestFit="1" customWidth="1"/>
    <col min="142" max="142" width="19.81640625" bestFit="1" customWidth="1"/>
    <col min="143" max="143" width="18.453125" bestFit="1" customWidth="1"/>
    <col min="144" max="144" width="25.54296875" bestFit="1" customWidth="1"/>
    <col min="145" max="145" width="41.54296875" bestFit="1" customWidth="1"/>
    <col min="146" max="146" width="10" bestFit="1" customWidth="1"/>
    <col min="147" max="147" width="11.6328125" bestFit="1" customWidth="1"/>
    <col min="148" max="148" width="17.26953125" bestFit="1" customWidth="1"/>
    <col min="149" max="149" width="14.6328125" bestFit="1" customWidth="1"/>
    <col min="150" max="150" width="7.36328125" bestFit="1" customWidth="1"/>
    <col min="151" max="151" width="11.90625" bestFit="1" customWidth="1"/>
    <col min="152" max="152" width="14.81640625" bestFit="1" customWidth="1"/>
    <col min="153" max="153" width="15" bestFit="1" customWidth="1"/>
    <col min="154" max="154" width="24.1796875" bestFit="1" customWidth="1"/>
    <col min="155" max="155" width="31.1796875" bestFit="1" customWidth="1"/>
    <col min="156" max="156" width="19.453125" bestFit="1" customWidth="1"/>
    <col min="157" max="157" width="27" bestFit="1" customWidth="1"/>
    <col min="158" max="158" width="20.26953125" bestFit="1" customWidth="1"/>
    <col min="159" max="159" width="26.7265625" bestFit="1" customWidth="1"/>
    <col min="160" max="160" width="19.36328125" bestFit="1" customWidth="1"/>
    <col min="161" max="161" width="13.54296875" bestFit="1" customWidth="1"/>
    <col min="162" max="162" width="10.81640625" bestFit="1" customWidth="1"/>
    <col min="163" max="163" width="19.453125" bestFit="1" customWidth="1"/>
    <col min="164" max="164" width="15.36328125" bestFit="1" customWidth="1"/>
    <col min="165" max="165" width="18.26953125" bestFit="1" customWidth="1"/>
    <col min="166" max="166" width="17.6328125" bestFit="1" customWidth="1"/>
    <col min="167" max="167" width="15.7265625" bestFit="1" customWidth="1"/>
    <col min="168" max="168" width="9.6328125" bestFit="1" customWidth="1"/>
    <col min="169" max="169" width="18.90625" bestFit="1" customWidth="1"/>
    <col min="170" max="170" width="13" bestFit="1" customWidth="1"/>
    <col min="171" max="171" width="17.54296875" bestFit="1" customWidth="1"/>
    <col min="172" max="172" width="13.90625" bestFit="1" customWidth="1"/>
    <col min="173" max="173" width="16.1796875" bestFit="1" customWidth="1"/>
    <col min="174" max="174" width="7.81640625" bestFit="1" customWidth="1"/>
    <col min="175" max="175" width="17.6328125" bestFit="1" customWidth="1"/>
    <col min="176" max="176" width="18.36328125" bestFit="1" customWidth="1"/>
    <col min="177" max="177" width="14.26953125" bestFit="1" customWidth="1"/>
    <col min="178" max="178" width="7.81640625" bestFit="1" customWidth="1"/>
    <col min="179" max="179" width="10.90625" bestFit="1" customWidth="1"/>
    <col min="180" max="180" width="15.1796875" bestFit="1" customWidth="1"/>
    <col min="181" max="181" width="7.81640625" bestFit="1" customWidth="1"/>
    <col min="182" max="182" width="10.81640625" bestFit="1" customWidth="1"/>
    <col min="183" max="183" width="7.36328125" bestFit="1" customWidth="1"/>
    <col min="184" max="184" width="20.90625" bestFit="1" customWidth="1"/>
    <col min="185" max="185" width="11.6328125" bestFit="1" customWidth="1"/>
    <col min="186" max="186" width="12" bestFit="1" customWidth="1"/>
    <col min="187" max="187" width="6.81640625" bestFit="1" customWidth="1"/>
    <col min="188" max="188" width="9.453125" bestFit="1" customWidth="1"/>
    <col min="189" max="189" width="13.90625" bestFit="1" customWidth="1"/>
    <col min="190" max="190" width="21.36328125" bestFit="1" customWidth="1"/>
    <col min="191" max="191" width="26.08984375" bestFit="1" customWidth="1"/>
    <col min="192" max="192" width="32.54296875" bestFit="1" customWidth="1"/>
    <col min="193" max="193" width="15.6328125" bestFit="1" customWidth="1"/>
    <col min="194" max="194" width="9.7265625" bestFit="1" customWidth="1"/>
    <col min="195" max="195" width="23.36328125" bestFit="1" customWidth="1"/>
    <col min="196" max="196" width="30.7265625" bestFit="1" customWidth="1"/>
    <col min="197" max="197" width="23.26953125" bestFit="1" customWidth="1"/>
    <col min="198" max="198" width="8.81640625" bestFit="1" customWidth="1"/>
    <col min="199" max="199" width="31.36328125" bestFit="1" customWidth="1"/>
    <col min="200" max="200" width="27.26953125" bestFit="1" customWidth="1"/>
    <col min="201" max="201" width="6.81640625" bestFit="1" customWidth="1"/>
    <col min="202" max="202" width="10.54296875" bestFit="1" customWidth="1"/>
    <col min="203" max="203" width="37.81640625" bestFit="1" customWidth="1"/>
    <col min="204" max="204" width="27.7265625" bestFit="1" customWidth="1"/>
    <col min="205" max="205" width="9.26953125" bestFit="1" customWidth="1"/>
    <col min="206" max="206" width="41.6328125" bestFit="1" customWidth="1"/>
    <col min="207" max="207" width="33.81640625" bestFit="1" customWidth="1"/>
    <col min="208" max="208" width="28.08984375" bestFit="1" customWidth="1"/>
    <col min="209" max="209" width="31.81640625" bestFit="1" customWidth="1"/>
    <col min="210" max="210" width="8.1796875" bestFit="1" customWidth="1"/>
    <col min="211" max="211" width="7.08984375" bestFit="1" customWidth="1"/>
    <col min="212" max="212" width="11" bestFit="1" customWidth="1"/>
    <col min="213" max="213" width="18.26953125" bestFit="1" customWidth="1"/>
    <col min="214" max="214" width="19.26953125" bestFit="1" customWidth="1"/>
    <col min="215" max="215" width="28.81640625" bestFit="1" customWidth="1"/>
    <col min="216" max="216" width="19.81640625" bestFit="1" customWidth="1"/>
    <col min="217" max="217" width="18.453125" bestFit="1" customWidth="1"/>
    <col min="218" max="218" width="25.54296875" bestFit="1" customWidth="1"/>
    <col min="219" max="219" width="41.54296875" bestFit="1" customWidth="1"/>
    <col min="220" max="220" width="10" bestFit="1" customWidth="1"/>
    <col min="221" max="221" width="11.36328125" bestFit="1" customWidth="1"/>
    <col min="222" max="222" width="17.26953125" bestFit="1" customWidth="1"/>
    <col min="223" max="223" width="14.6328125" bestFit="1" customWidth="1"/>
    <col min="224" max="224" width="7.36328125" bestFit="1" customWidth="1"/>
    <col min="225" max="225" width="11.90625" bestFit="1" customWidth="1"/>
    <col min="226" max="226" width="14.81640625" bestFit="1" customWidth="1"/>
    <col min="227" max="227" width="15" bestFit="1" customWidth="1"/>
    <col min="228" max="228" width="24.1796875" bestFit="1" customWidth="1"/>
    <col min="229" max="229" width="31.1796875" bestFit="1" customWidth="1"/>
    <col min="230" max="230" width="19.453125" bestFit="1" customWidth="1"/>
    <col min="231" max="231" width="27" bestFit="1" customWidth="1"/>
    <col min="232" max="232" width="20.26953125" bestFit="1" customWidth="1"/>
    <col min="233" max="233" width="26.7265625" bestFit="1" customWidth="1"/>
    <col min="234" max="234" width="19.36328125" bestFit="1" customWidth="1"/>
    <col min="235" max="235" width="13.54296875" bestFit="1" customWidth="1"/>
    <col min="236" max="236" width="10.81640625" bestFit="1" customWidth="1"/>
    <col min="237" max="237" width="19.453125" bestFit="1" customWidth="1"/>
    <col min="238" max="238" width="15.36328125" bestFit="1" customWidth="1"/>
    <col min="239" max="239" width="18.26953125" bestFit="1" customWidth="1"/>
    <col min="240" max="240" width="17.6328125" bestFit="1" customWidth="1"/>
    <col min="241" max="241" width="15.7265625" bestFit="1" customWidth="1"/>
    <col min="242" max="242" width="9.6328125" bestFit="1" customWidth="1"/>
    <col min="243" max="243" width="18.90625" bestFit="1" customWidth="1"/>
    <col min="244" max="244" width="13" bestFit="1" customWidth="1"/>
    <col min="245" max="245" width="17.54296875" bestFit="1" customWidth="1"/>
    <col min="246" max="246" width="13.90625" bestFit="1" customWidth="1"/>
    <col min="247" max="247" width="16.1796875" bestFit="1" customWidth="1"/>
    <col min="248" max="248" width="7.81640625" bestFit="1" customWidth="1"/>
    <col min="249" max="249" width="17.6328125" bestFit="1" customWidth="1"/>
    <col min="250" max="250" width="18.36328125" bestFit="1" customWidth="1"/>
    <col min="251" max="251" width="14.26953125" bestFit="1" customWidth="1"/>
    <col min="252" max="252" width="7.81640625" bestFit="1" customWidth="1"/>
    <col min="253" max="253" width="10.90625" bestFit="1" customWidth="1"/>
    <col min="254" max="254" width="15.1796875" bestFit="1" customWidth="1"/>
    <col min="255" max="255" width="7.81640625" bestFit="1" customWidth="1"/>
    <col min="256" max="256" width="10.81640625" bestFit="1" customWidth="1"/>
    <col min="257" max="257" width="7.36328125" bestFit="1" customWidth="1"/>
    <col min="258" max="258" width="20.90625" bestFit="1" customWidth="1"/>
    <col min="259" max="259" width="11.6328125" bestFit="1" customWidth="1"/>
    <col min="260" max="260" width="12" bestFit="1" customWidth="1"/>
    <col min="261" max="261" width="6.81640625" bestFit="1" customWidth="1"/>
    <col min="262" max="262" width="9.453125" bestFit="1" customWidth="1"/>
    <col min="263" max="263" width="13.90625" bestFit="1" customWidth="1"/>
    <col min="264" max="264" width="21.36328125" bestFit="1" customWidth="1"/>
    <col min="265" max="265" width="26.08984375" bestFit="1" customWidth="1"/>
    <col min="266" max="266" width="32.54296875" bestFit="1" customWidth="1"/>
    <col min="267" max="267" width="15.6328125" bestFit="1" customWidth="1"/>
    <col min="268" max="268" width="9.7265625" bestFit="1" customWidth="1"/>
    <col min="269" max="269" width="23.36328125" bestFit="1" customWidth="1"/>
    <col min="270" max="270" width="6.81640625" bestFit="1" customWidth="1"/>
    <col min="271" max="271" width="39.36328125" bestFit="1" customWidth="1"/>
    <col min="272" max="272" width="26.453125" bestFit="1" customWidth="1"/>
    <col min="273" max="273" width="15.08984375" bestFit="1" customWidth="1"/>
    <col min="274" max="274" width="12.36328125" bestFit="1" customWidth="1"/>
    <col min="275" max="275" width="10.54296875" bestFit="1" customWidth="1"/>
    <col min="276" max="276" width="37.81640625" bestFit="1" customWidth="1"/>
    <col min="277" max="277" width="27.7265625" bestFit="1" customWidth="1"/>
    <col min="278" max="278" width="9.26953125" bestFit="1" customWidth="1"/>
    <col min="279" max="279" width="41.6328125" bestFit="1" customWidth="1"/>
    <col min="280" max="280" width="33.81640625" bestFit="1" customWidth="1"/>
    <col min="281" max="281" width="28.08984375" bestFit="1" customWidth="1"/>
    <col min="282" max="282" width="31.81640625" bestFit="1" customWidth="1"/>
    <col min="283" max="283" width="8.1796875" bestFit="1" customWidth="1"/>
    <col min="284" max="284" width="7.08984375" bestFit="1" customWidth="1"/>
    <col min="285" max="285" width="11" bestFit="1" customWidth="1"/>
    <col min="286" max="286" width="18.26953125" bestFit="1" customWidth="1"/>
    <col min="287" max="287" width="19.26953125" bestFit="1" customWidth="1"/>
    <col min="288" max="288" width="28.81640625" bestFit="1" customWidth="1"/>
    <col min="289" max="289" width="19.81640625" bestFit="1" customWidth="1"/>
    <col min="290" max="290" width="18.453125" bestFit="1" customWidth="1"/>
    <col min="291" max="291" width="25.54296875" bestFit="1" customWidth="1"/>
    <col min="292" max="292" width="41.54296875" bestFit="1" customWidth="1"/>
    <col min="293" max="293" width="10" bestFit="1" customWidth="1"/>
    <col min="294" max="294" width="11.90625" bestFit="1" customWidth="1"/>
    <col min="295" max="295" width="11.08984375" bestFit="1" customWidth="1"/>
  </cols>
  <sheetData>
    <row r="3" spans="1:13">
      <c r="A3" s="9" t="s">
        <v>96</v>
      </c>
      <c r="B3" s="9" t="s">
        <v>103</v>
      </c>
    </row>
    <row r="4" spans="1:13">
      <c r="A4" s="9" t="s">
        <v>90</v>
      </c>
      <c r="B4" s="20">
        <v>44589</v>
      </c>
      <c r="C4" s="20">
        <v>44617</v>
      </c>
      <c r="D4" s="20">
        <v>44645</v>
      </c>
      <c r="E4" s="20">
        <v>44679</v>
      </c>
      <c r="F4" s="20">
        <v>44708</v>
      </c>
      <c r="G4" s="20">
        <v>44739</v>
      </c>
      <c r="H4" s="20">
        <v>44771</v>
      </c>
      <c r="I4" s="20">
        <v>44802</v>
      </c>
      <c r="J4" s="20">
        <v>44834</v>
      </c>
      <c r="K4" s="20">
        <v>44862</v>
      </c>
      <c r="L4" s="20">
        <v>44893</v>
      </c>
      <c r="M4" s="20">
        <v>44914</v>
      </c>
    </row>
    <row r="5" spans="1:13">
      <c r="A5" s="13" t="s">
        <v>1</v>
      </c>
      <c r="B5">
        <v>16007096</v>
      </c>
      <c r="C5">
        <v>16005197</v>
      </c>
      <c r="D5">
        <v>16231470</v>
      </c>
      <c r="E5">
        <v>16226366</v>
      </c>
      <c r="F5">
        <v>16224753</v>
      </c>
      <c r="G5">
        <v>16222312</v>
      </c>
      <c r="H5">
        <v>16230947</v>
      </c>
      <c r="I5">
        <v>16235200</v>
      </c>
      <c r="J5">
        <v>16251527</v>
      </c>
      <c r="K5">
        <v>16228186</v>
      </c>
      <c r="L5">
        <v>16241303</v>
      </c>
      <c r="M5">
        <v>16249524</v>
      </c>
    </row>
    <row r="6" spans="1:13">
      <c r="A6" s="42" t="s">
        <v>2</v>
      </c>
      <c r="B6">
        <v>2779295</v>
      </c>
      <c r="C6">
        <v>2778738</v>
      </c>
      <c r="D6">
        <v>2778425</v>
      </c>
      <c r="E6">
        <v>2776304</v>
      </c>
      <c r="F6">
        <v>2774869</v>
      </c>
      <c r="G6">
        <v>2771783</v>
      </c>
      <c r="H6">
        <v>2770986</v>
      </c>
      <c r="I6">
        <v>2769931</v>
      </c>
      <c r="J6">
        <v>2769844</v>
      </c>
      <c r="K6">
        <v>2760730</v>
      </c>
      <c r="L6">
        <v>2762446</v>
      </c>
      <c r="M6">
        <v>2764492</v>
      </c>
    </row>
    <row r="7" spans="1:13">
      <c r="A7" s="42" t="s">
        <v>3</v>
      </c>
      <c r="B7">
        <v>3952818</v>
      </c>
      <c r="C7">
        <v>3950941</v>
      </c>
      <c r="D7">
        <v>3949311</v>
      </c>
      <c r="E7">
        <v>3946446</v>
      </c>
      <c r="F7">
        <v>3944152</v>
      </c>
      <c r="G7">
        <v>3942104</v>
      </c>
      <c r="H7">
        <v>3941761</v>
      </c>
      <c r="I7">
        <v>3941267</v>
      </c>
      <c r="J7">
        <v>3941402</v>
      </c>
      <c r="K7">
        <v>3934914</v>
      </c>
      <c r="L7">
        <v>3935889</v>
      </c>
      <c r="M7">
        <v>3936662</v>
      </c>
    </row>
    <row r="8" spans="1:13">
      <c r="A8" s="42" t="s">
        <v>4</v>
      </c>
      <c r="B8">
        <v>96736</v>
      </c>
      <c r="C8">
        <v>96726</v>
      </c>
      <c r="D8">
        <v>96763</v>
      </c>
      <c r="E8">
        <v>96710</v>
      </c>
      <c r="F8">
        <v>96663</v>
      </c>
      <c r="G8">
        <v>96543</v>
      </c>
      <c r="H8">
        <v>96650</v>
      </c>
      <c r="I8">
        <v>96789</v>
      </c>
      <c r="J8">
        <v>97107</v>
      </c>
      <c r="K8">
        <v>96939</v>
      </c>
      <c r="L8">
        <v>97144</v>
      </c>
      <c r="M8">
        <v>97239</v>
      </c>
    </row>
    <row r="9" spans="1:13">
      <c r="A9" s="42" t="s">
        <v>5</v>
      </c>
      <c r="B9">
        <v>14777</v>
      </c>
      <c r="C9">
        <v>14799</v>
      </c>
      <c r="D9">
        <v>14806</v>
      </c>
      <c r="E9">
        <v>14830</v>
      </c>
      <c r="F9">
        <v>14832</v>
      </c>
      <c r="G9">
        <v>14844</v>
      </c>
      <c r="H9">
        <v>14871</v>
      </c>
      <c r="I9">
        <v>14885</v>
      </c>
      <c r="J9">
        <v>14914</v>
      </c>
      <c r="K9">
        <v>14493</v>
      </c>
      <c r="L9">
        <v>14973</v>
      </c>
      <c r="M9">
        <v>14997</v>
      </c>
    </row>
    <row r="10" spans="1:13">
      <c r="A10" s="42" t="s">
        <v>6</v>
      </c>
      <c r="B10">
        <v>160008</v>
      </c>
      <c r="C10">
        <v>159863</v>
      </c>
      <c r="D10">
        <v>159843</v>
      </c>
      <c r="E10">
        <v>159735</v>
      </c>
      <c r="F10">
        <v>159632</v>
      </c>
      <c r="G10">
        <v>159509</v>
      </c>
      <c r="H10">
        <v>159393</v>
      </c>
      <c r="I10">
        <v>159372</v>
      </c>
      <c r="J10">
        <v>159419</v>
      </c>
      <c r="K10">
        <v>159077</v>
      </c>
      <c r="L10">
        <v>159333</v>
      </c>
      <c r="M10">
        <v>159666</v>
      </c>
    </row>
    <row r="11" spans="1:13">
      <c r="A11" s="42" t="s">
        <v>7</v>
      </c>
      <c r="B11">
        <v>3702495</v>
      </c>
      <c r="C11">
        <v>3700796</v>
      </c>
      <c r="D11">
        <v>3698498</v>
      </c>
      <c r="E11">
        <v>3696610</v>
      </c>
      <c r="F11">
        <v>3694950</v>
      </c>
      <c r="G11">
        <v>3694322</v>
      </c>
      <c r="H11">
        <v>3693407</v>
      </c>
      <c r="I11">
        <v>3692814</v>
      </c>
      <c r="J11">
        <v>3695549</v>
      </c>
      <c r="K11">
        <v>3693605</v>
      </c>
      <c r="L11">
        <v>3694207</v>
      </c>
      <c r="M11">
        <v>3693408</v>
      </c>
    </row>
    <row r="12" spans="1:13">
      <c r="A12" s="42" t="s">
        <v>10</v>
      </c>
      <c r="B12">
        <v>1201072</v>
      </c>
      <c r="C12">
        <v>1200821</v>
      </c>
      <c r="D12">
        <v>1200549</v>
      </c>
      <c r="E12">
        <v>1200654</v>
      </c>
      <c r="F12">
        <v>1201378</v>
      </c>
      <c r="G12">
        <v>1202085</v>
      </c>
      <c r="H12">
        <v>1204171</v>
      </c>
      <c r="I12">
        <v>1205876</v>
      </c>
      <c r="J12">
        <v>1208684</v>
      </c>
      <c r="K12">
        <v>1206979</v>
      </c>
      <c r="L12">
        <v>1208969</v>
      </c>
      <c r="M12">
        <v>1209611</v>
      </c>
    </row>
    <row r="13" spans="1:13">
      <c r="A13" s="42" t="s">
        <v>12</v>
      </c>
      <c r="B13">
        <v>215149</v>
      </c>
      <c r="C13">
        <v>215186</v>
      </c>
      <c r="D13">
        <v>215224</v>
      </c>
      <c r="E13">
        <v>215514</v>
      </c>
      <c r="F13">
        <v>215622</v>
      </c>
      <c r="G13">
        <v>215504</v>
      </c>
      <c r="H13">
        <v>215734</v>
      </c>
      <c r="I13">
        <v>215693</v>
      </c>
      <c r="J13">
        <v>215949</v>
      </c>
      <c r="K13">
        <v>215900</v>
      </c>
      <c r="L13">
        <v>215971</v>
      </c>
      <c r="M13">
        <v>215925</v>
      </c>
    </row>
    <row r="14" spans="1:13">
      <c r="A14" s="42" t="s">
        <v>11</v>
      </c>
      <c r="B14">
        <v>1144626</v>
      </c>
      <c r="C14">
        <v>1144064</v>
      </c>
      <c r="D14">
        <v>1143581</v>
      </c>
      <c r="E14">
        <v>1142593</v>
      </c>
      <c r="F14">
        <v>1142056</v>
      </c>
      <c r="G14">
        <v>1141647</v>
      </c>
      <c r="H14">
        <v>1142016</v>
      </c>
      <c r="I14">
        <v>1142147</v>
      </c>
      <c r="J14">
        <v>1142529</v>
      </c>
      <c r="K14">
        <v>1139664</v>
      </c>
      <c r="L14">
        <v>1140596</v>
      </c>
      <c r="M14">
        <v>1140883</v>
      </c>
    </row>
    <row r="15" spans="1:13">
      <c r="A15" s="42" t="s">
        <v>8</v>
      </c>
      <c r="B15">
        <v>400833</v>
      </c>
      <c r="C15">
        <v>402700</v>
      </c>
      <c r="D15">
        <v>404063</v>
      </c>
      <c r="E15">
        <v>405302</v>
      </c>
      <c r="F15">
        <v>407314</v>
      </c>
      <c r="G15">
        <v>408930</v>
      </c>
      <c r="H15">
        <v>412974</v>
      </c>
      <c r="I15">
        <v>414907</v>
      </c>
      <c r="J15">
        <v>417581</v>
      </c>
      <c r="K15">
        <v>419210</v>
      </c>
      <c r="L15">
        <v>420732</v>
      </c>
      <c r="M15">
        <v>421845</v>
      </c>
    </row>
    <row r="16" spans="1:13">
      <c r="A16" s="42" t="s">
        <v>16</v>
      </c>
      <c r="B16">
        <v>339417</v>
      </c>
      <c r="C16">
        <v>339697</v>
      </c>
      <c r="D16">
        <v>340066</v>
      </c>
      <c r="E16">
        <v>340609</v>
      </c>
      <c r="F16">
        <v>341153</v>
      </c>
      <c r="G16">
        <v>341591</v>
      </c>
      <c r="H16">
        <v>342672</v>
      </c>
      <c r="I16">
        <v>343275</v>
      </c>
      <c r="J16">
        <v>344400</v>
      </c>
      <c r="K16">
        <v>344587</v>
      </c>
      <c r="L16">
        <v>345271</v>
      </c>
      <c r="M16">
        <v>345942</v>
      </c>
    </row>
    <row r="17" spans="1:13">
      <c r="A17" s="42" t="s">
        <v>17</v>
      </c>
      <c r="B17">
        <v>125124</v>
      </c>
      <c r="C17">
        <v>125124</v>
      </c>
    </row>
    <row r="18" spans="1:13">
      <c r="A18" s="42" t="s">
        <v>86</v>
      </c>
      <c r="D18">
        <v>353505</v>
      </c>
      <c r="E18">
        <v>353442</v>
      </c>
      <c r="F18">
        <v>353390</v>
      </c>
      <c r="G18">
        <v>353189</v>
      </c>
      <c r="H18">
        <v>353329</v>
      </c>
      <c r="I18">
        <v>353601</v>
      </c>
      <c r="J18">
        <v>354647</v>
      </c>
      <c r="K18">
        <v>354406</v>
      </c>
      <c r="L18">
        <v>354743</v>
      </c>
      <c r="M18">
        <v>354976</v>
      </c>
    </row>
    <row r="19" spans="1:13">
      <c r="A19" s="42" t="s">
        <v>19</v>
      </c>
      <c r="B19">
        <v>326864</v>
      </c>
      <c r="C19">
        <v>326976</v>
      </c>
      <c r="D19">
        <v>327253</v>
      </c>
      <c r="E19">
        <v>327376</v>
      </c>
      <c r="F19">
        <v>327612</v>
      </c>
      <c r="G19">
        <v>328074</v>
      </c>
      <c r="H19">
        <v>328999</v>
      </c>
      <c r="I19">
        <v>329481</v>
      </c>
      <c r="J19">
        <v>330705</v>
      </c>
      <c r="K19">
        <v>330632</v>
      </c>
      <c r="L19">
        <v>331464</v>
      </c>
      <c r="M19">
        <v>332344</v>
      </c>
    </row>
    <row r="20" spans="1:13">
      <c r="A20" s="42" t="s">
        <v>9</v>
      </c>
      <c r="B20">
        <v>212458</v>
      </c>
      <c r="C20">
        <v>212284</v>
      </c>
      <c r="D20">
        <v>212185</v>
      </c>
      <c r="E20">
        <v>212044</v>
      </c>
      <c r="F20">
        <v>211882</v>
      </c>
      <c r="G20">
        <v>211705</v>
      </c>
      <c r="H20">
        <v>211625</v>
      </c>
      <c r="I20">
        <v>211513</v>
      </c>
      <c r="J20">
        <v>211383</v>
      </c>
      <c r="K20">
        <v>211153</v>
      </c>
      <c r="L20">
        <v>211000</v>
      </c>
      <c r="M20">
        <v>210907</v>
      </c>
    </row>
    <row r="21" spans="1:13">
      <c r="A21" s="42" t="s">
        <v>13</v>
      </c>
      <c r="B21">
        <v>1141858</v>
      </c>
      <c r="C21">
        <v>1143100</v>
      </c>
      <c r="D21">
        <v>1144120</v>
      </c>
      <c r="E21">
        <v>1145101</v>
      </c>
      <c r="F21">
        <v>1146324</v>
      </c>
      <c r="G21">
        <v>1147764</v>
      </c>
      <c r="H21">
        <v>1150804</v>
      </c>
      <c r="I21">
        <v>1152196</v>
      </c>
      <c r="J21">
        <v>1156046</v>
      </c>
      <c r="K21">
        <v>1155099</v>
      </c>
      <c r="L21">
        <v>1157926</v>
      </c>
      <c r="M21">
        <v>1160083</v>
      </c>
    </row>
    <row r="22" spans="1:13">
      <c r="A22" s="42" t="s">
        <v>14</v>
      </c>
      <c r="B22">
        <v>192513</v>
      </c>
      <c r="C22">
        <v>192329</v>
      </c>
      <c r="D22">
        <v>192214</v>
      </c>
      <c r="E22">
        <v>192027</v>
      </c>
      <c r="F22">
        <v>191854</v>
      </c>
      <c r="G22">
        <v>191643</v>
      </c>
      <c r="H22">
        <v>191555</v>
      </c>
      <c r="I22">
        <v>191453</v>
      </c>
      <c r="J22">
        <v>191368</v>
      </c>
      <c r="K22">
        <v>190798</v>
      </c>
      <c r="L22">
        <v>190639</v>
      </c>
      <c r="M22">
        <v>190544</v>
      </c>
    </row>
    <row r="23" spans="1:13">
      <c r="A23" s="42" t="s">
        <v>15</v>
      </c>
      <c r="B23">
        <v>1053</v>
      </c>
      <c r="C23">
        <v>1053</v>
      </c>
      <c r="D23">
        <v>1064</v>
      </c>
      <c r="E23">
        <v>1069</v>
      </c>
      <c r="F23">
        <v>1070</v>
      </c>
      <c r="G23">
        <v>1075</v>
      </c>
      <c r="H23">
        <v>0</v>
      </c>
      <c r="K23">
        <v>0</v>
      </c>
    </row>
    <row r="24" spans="1:13">
      <c r="A24" s="13" t="s">
        <v>79</v>
      </c>
      <c r="B24">
        <v>398025</v>
      </c>
      <c r="C24">
        <v>475852</v>
      </c>
      <c r="D24">
        <v>928663</v>
      </c>
      <c r="E24">
        <v>952628</v>
      </c>
      <c r="F24">
        <v>969943</v>
      </c>
      <c r="G24">
        <v>965355</v>
      </c>
      <c r="H24">
        <v>1022955</v>
      </c>
      <c r="I24">
        <v>1037479</v>
      </c>
      <c r="J24">
        <v>1071511</v>
      </c>
      <c r="K24">
        <v>1103194</v>
      </c>
      <c r="L24">
        <v>1133077</v>
      </c>
      <c r="M24">
        <v>1148217</v>
      </c>
    </row>
    <row r="25" spans="1:13">
      <c r="A25" s="42" t="s">
        <v>64</v>
      </c>
      <c r="B25">
        <v>18500</v>
      </c>
      <c r="C25">
        <v>19000</v>
      </c>
      <c r="D25">
        <v>195000</v>
      </c>
      <c r="E25">
        <v>199000</v>
      </c>
      <c r="F25">
        <v>203000</v>
      </c>
      <c r="G25">
        <v>210000</v>
      </c>
      <c r="H25">
        <v>216431</v>
      </c>
      <c r="I25">
        <v>1005</v>
      </c>
      <c r="J25">
        <v>226873</v>
      </c>
      <c r="K25">
        <v>233176</v>
      </c>
      <c r="L25">
        <v>238739</v>
      </c>
      <c r="M25">
        <v>242077</v>
      </c>
    </row>
    <row r="26" spans="1:13">
      <c r="A26" s="42" t="s">
        <v>65</v>
      </c>
      <c r="B26">
        <v>98500</v>
      </c>
      <c r="C26">
        <v>10100</v>
      </c>
      <c r="D26">
        <v>106000</v>
      </c>
      <c r="E26">
        <v>110000</v>
      </c>
      <c r="F26">
        <v>113000</v>
      </c>
      <c r="G26">
        <v>116000</v>
      </c>
      <c r="H26">
        <v>118342</v>
      </c>
      <c r="I26">
        <v>221249</v>
      </c>
      <c r="J26">
        <v>122938</v>
      </c>
      <c r="K26">
        <v>126415</v>
      </c>
      <c r="L26">
        <v>133289</v>
      </c>
      <c r="M26">
        <v>135845</v>
      </c>
    </row>
    <row r="27" spans="1:13">
      <c r="A27" s="42" t="s">
        <v>68</v>
      </c>
      <c r="B27">
        <v>13600</v>
      </c>
      <c r="C27">
        <v>14700</v>
      </c>
      <c r="D27">
        <v>16000</v>
      </c>
      <c r="E27">
        <v>18600</v>
      </c>
      <c r="F27">
        <v>19900</v>
      </c>
      <c r="G27">
        <v>22700</v>
      </c>
      <c r="H27">
        <v>24078</v>
      </c>
      <c r="I27">
        <v>25324</v>
      </c>
      <c r="J27">
        <v>26668</v>
      </c>
      <c r="K27">
        <v>30120</v>
      </c>
      <c r="L27">
        <v>30684</v>
      </c>
      <c r="M27">
        <v>30329</v>
      </c>
    </row>
    <row r="28" spans="1:13">
      <c r="A28" s="42" t="s">
        <v>67</v>
      </c>
      <c r="B28">
        <v>7685</v>
      </c>
      <c r="C28">
        <v>7784</v>
      </c>
      <c r="D28">
        <v>7926</v>
      </c>
      <c r="E28">
        <v>8048</v>
      </c>
      <c r="F28">
        <v>8139</v>
      </c>
      <c r="G28">
        <v>8263</v>
      </c>
      <c r="H28">
        <v>8958</v>
      </c>
      <c r="I28">
        <v>9367</v>
      </c>
      <c r="J28">
        <v>9781</v>
      </c>
      <c r="K28">
        <v>11711</v>
      </c>
      <c r="L28">
        <v>12441</v>
      </c>
      <c r="M28">
        <v>12819</v>
      </c>
    </row>
    <row r="29" spans="1:13">
      <c r="A29" s="42" t="s">
        <v>66</v>
      </c>
      <c r="B29">
        <v>6440</v>
      </c>
      <c r="C29">
        <v>6768</v>
      </c>
      <c r="D29">
        <v>7237</v>
      </c>
      <c r="E29">
        <v>7580</v>
      </c>
      <c r="F29">
        <v>7704</v>
      </c>
      <c r="G29">
        <v>7892</v>
      </c>
      <c r="H29">
        <v>8104</v>
      </c>
      <c r="I29">
        <v>120184</v>
      </c>
      <c r="J29">
        <v>9046</v>
      </c>
      <c r="K29">
        <v>9821</v>
      </c>
      <c r="L29">
        <v>10562</v>
      </c>
      <c r="M29">
        <v>11486</v>
      </c>
    </row>
    <row r="30" spans="1:13">
      <c r="A30" s="42" t="s">
        <v>7</v>
      </c>
      <c r="B30">
        <v>21700</v>
      </c>
      <c r="C30">
        <v>77700</v>
      </c>
      <c r="D30">
        <v>226000</v>
      </c>
      <c r="E30">
        <v>232000</v>
      </c>
      <c r="F30">
        <v>235000</v>
      </c>
      <c r="G30">
        <v>241000</v>
      </c>
      <c r="H30">
        <v>243009</v>
      </c>
      <c r="I30">
        <v>245180</v>
      </c>
      <c r="J30">
        <v>246657</v>
      </c>
      <c r="K30">
        <v>249721</v>
      </c>
      <c r="L30">
        <v>252454</v>
      </c>
      <c r="M30">
        <v>254795</v>
      </c>
    </row>
    <row r="31" spans="1:13">
      <c r="A31" s="42" t="s">
        <v>10</v>
      </c>
      <c r="B31">
        <v>79100</v>
      </c>
      <c r="C31">
        <v>82700</v>
      </c>
      <c r="D31">
        <v>86700</v>
      </c>
      <c r="E31">
        <v>89500</v>
      </c>
      <c r="F31">
        <v>92800</v>
      </c>
      <c r="G31">
        <v>96100</v>
      </c>
      <c r="H31">
        <v>98723</v>
      </c>
      <c r="I31">
        <v>102277</v>
      </c>
      <c r="J31">
        <v>105421</v>
      </c>
      <c r="K31">
        <v>108438</v>
      </c>
      <c r="L31">
        <v>112128</v>
      </c>
      <c r="M31">
        <v>114859</v>
      </c>
    </row>
    <row r="32" spans="1:13">
      <c r="A32" s="42" t="s">
        <v>53</v>
      </c>
      <c r="B32">
        <v>77400</v>
      </c>
      <c r="C32">
        <v>77400</v>
      </c>
      <c r="D32">
        <v>78100</v>
      </c>
      <c r="E32">
        <v>78600</v>
      </c>
      <c r="F32">
        <v>79500</v>
      </c>
      <c r="G32">
        <v>81800</v>
      </c>
      <c r="H32">
        <v>84554</v>
      </c>
      <c r="I32">
        <v>89295</v>
      </c>
      <c r="J32">
        <v>96804</v>
      </c>
      <c r="K32">
        <v>101512</v>
      </c>
      <c r="L32">
        <v>105851</v>
      </c>
      <c r="M32">
        <v>105592</v>
      </c>
    </row>
    <row r="33" spans="1:13">
      <c r="A33" s="42" t="s">
        <v>16</v>
      </c>
      <c r="B33">
        <v>21800</v>
      </c>
      <c r="C33">
        <v>22800</v>
      </c>
      <c r="D33">
        <v>23500</v>
      </c>
      <c r="E33">
        <v>24200</v>
      </c>
      <c r="F33">
        <v>24500</v>
      </c>
      <c r="G33">
        <v>25500</v>
      </c>
      <c r="H33">
        <v>25657</v>
      </c>
      <c r="I33">
        <v>25937</v>
      </c>
      <c r="J33">
        <v>26938</v>
      </c>
      <c r="K33">
        <v>28106</v>
      </c>
      <c r="L33">
        <v>29022</v>
      </c>
      <c r="M33">
        <v>29708</v>
      </c>
    </row>
    <row r="34" spans="1:13">
      <c r="A34" s="42" t="s">
        <v>17</v>
      </c>
      <c r="B34">
        <v>13100</v>
      </c>
      <c r="C34">
        <v>13600</v>
      </c>
    </row>
    <row r="35" spans="1:13">
      <c r="A35" s="42" t="s">
        <v>86</v>
      </c>
      <c r="D35">
        <v>36400</v>
      </c>
      <c r="E35">
        <v>37300</v>
      </c>
      <c r="F35">
        <v>38000</v>
      </c>
      <c r="G35">
        <v>39100</v>
      </c>
      <c r="H35">
        <v>39650</v>
      </c>
      <c r="I35">
        <v>40226</v>
      </c>
      <c r="J35">
        <v>40939</v>
      </c>
      <c r="K35">
        <v>41750</v>
      </c>
      <c r="L35">
        <v>42734</v>
      </c>
      <c r="M35">
        <v>43515</v>
      </c>
    </row>
    <row r="36" spans="1:13">
      <c r="A36" s="42" t="s">
        <v>72</v>
      </c>
      <c r="B36">
        <v>29200</v>
      </c>
      <c r="C36">
        <v>31300</v>
      </c>
      <c r="D36">
        <v>32800</v>
      </c>
      <c r="E36">
        <v>33800</v>
      </c>
      <c r="F36">
        <v>34400</v>
      </c>
      <c r="H36">
        <v>36528</v>
      </c>
      <c r="I36">
        <v>37269</v>
      </c>
      <c r="J36">
        <v>38748</v>
      </c>
      <c r="K36">
        <v>40505</v>
      </c>
      <c r="L36">
        <v>41950</v>
      </c>
      <c r="M36">
        <v>43143</v>
      </c>
    </row>
    <row r="37" spans="1:13">
      <c r="A37" s="42" t="s">
        <v>70</v>
      </c>
      <c r="B37">
        <v>11000</v>
      </c>
      <c r="C37">
        <v>112000</v>
      </c>
      <c r="D37">
        <v>113000</v>
      </c>
      <c r="E37">
        <v>114000</v>
      </c>
      <c r="F37">
        <v>114000</v>
      </c>
      <c r="G37">
        <v>117000</v>
      </c>
      <c r="H37">
        <v>118921</v>
      </c>
      <c r="I37">
        <v>120166</v>
      </c>
      <c r="J37">
        <v>120698</v>
      </c>
      <c r="K37">
        <v>121919</v>
      </c>
      <c r="L37">
        <v>123223</v>
      </c>
      <c r="M37">
        <v>124049</v>
      </c>
    </row>
    <row r="38" spans="1:13">
      <c r="A38" s="13" t="s">
        <v>20</v>
      </c>
      <c r="B38">
        <v>13198100</v>
      </c>
      <c r="C38">
        <v>13453203</v>
      </c>
      <c r="D38">
        <v>13617014</v>
      </c>
      <c r="E38">
        <v>13806837</v>
      </c>
      <c r="F38">
        <v>14562835</v>
      </c>
      <c r="G38">
        <v>14148472</v>
      </c>
      <c r="H38">
        <v>14368667</v>
      </c>
      <c r="I38">
        <v>14948267</v>
      </c>
      <c r="J38">
        <v>15233812</v>
      </c>
      <c r="K38">
        <v>15453181</v>
      </c>
      <c r="L38">
        <v>15647582</v>
      </c>
      <c r="M38">
        <v>15774044</v>
      </c>
    </row>
    <row r="39" spans="1:13">
      <c r="A39" s="42" t="s">
        <v>2</v>
      </c>
      <c r="B39">
        <v>2028349</v>
      </c>
      <c r="C39">
        <v>2058767</v>
      </c>
      <c r="D39">
        <v>2085093</v>
      </c>
      <c r="E39">
        <v>2115895</v>
      </c>
      <c r="F39">
        <v>2774869</v>
      </c>
      <c r="G39">
        <v>2174339</v>
      </c>
      <c r="H39">
        <v>2208988</v>
      </c>
      <c r="I39">
        <v>2241791</v>
      </c>
      <c r="J39">
        <v>2285112</v>
      </c>
      <c r="K39">
        <v>2317880</v>
      </c>
      <c r="L39">
        <v>2346689</v>
      </c>
      <c r="M39">
        <v>2363476</v>
      </c>
    </row>
    <row r="40" spans="1:13">
      <c r="A40" s="42" t="s">
        <v>22</v>
      </c>
      <c r="B40">
        <v>290536</v>
      </c>
      <c r="C40">
        <v>291985</v>
      </c>
      <c r="D40">
        <v>293598</v>
      </c>
      <c r="E40">
        <v>295446</v>
      </c>
      <c r="F40">
        <v>297107</v>
      </c>
      <c r="G40">
        <v>298756</v>
      </c>
      <c r="H40">
        <v>300722</v>
      </c>
      <c r="I40">
        <v>302435</v>
      </c>
      <c r="J40">
        <v>305074</v>
      </c>
      <c r="K40">
        <v>307216</v>
      </c>
      <c r="L40">
        <v>309907</v>
      </c>
      <c r="M40">
        <v>311810</v>
      </c>
    </row>
    <row r="41" spans="1:13">
      <c r="A41" s="42" t="s">
        <v>21</v>
      </c>
      <c r="B41">
        <v>336752</v>
      </c>
      <c r="C41">
        <v>338145</v>
      </c>
      <c r="D41">
        <v>339351</v>
      </c>
      <c r="E41">
        <v>341086</v>
      </c>
      <c r="F41">
        <v>323163</v>
      </c>
      <c r="G41">
        <v>344448</v>
      </c>
      <c r="H41">
        <v>346346</v>
      </c>
      <c r="I41">
        <v>347786</v>
      </c>
      <c r="J41">
        <v>349804</v>
      </c>
      <c r="K41">
        <v>351596</v>
      </c>
      <c r="L41">
        <v>353163</v>
      </c>
      <c r="M41">
        <v>354144</v>
      </c>
    </row>
    <row r="42" spans="1:13">
      <c r="A42" s="42" t="s">
        <v>3</v>
      </c>
      <c r="B42">
        <v>532002</v>
      </c>
      <c r="C42">
        <v>536978</v>
      </c>
      <c r="D42">
        <v>541098</v>
      </c>
      <c r="E42">
        <v>546779</v>
      </c>
      <c r="F42">
        <v>551759</v>
      </c>
      <c r="G42">
        <v>559045</v>
      </c>
      <c r="H42">
        <v>566948</v>
      </c>
      <c r="I42">
        <v>575524</v>
      </c>
      <c r="J42">
        <v>587006</v>
      </c>
      <c r="K42">
        <v>594832</v>
      </c>
      <c r="L42">
        <v>601169</v>
      </c>
      <c r="M42">
        <v>605430</v>
      </c>
    </row>
    <row r="43" spans="1:13">
      <c r="A43" s="42" t="s">
        <v>25</v>
      </c>
      <c r="B43">
        <v>28843</v>
      </c>
      <c r="C43">
        <v>29107</v>
      </c>
      <c r="D43">
        <v>29348</v>
      </c>
      <c r="E43">
        <v>29662</v>
      </c>
      <c r="F43">
        <v>29933</v>
      </c>
      <c r="G43">
        <v>30195</v>
      </c>
      <c r="H43">
        <v>30633</v>
      </c>
      <c r="I43">
        <v>31093</v>
      </c>
      <c r="J43">
        <v>31434</v>
      </c>
      <c r="K43">
        <v>31719</v>
      </c>
      <c r="L43">
        <v>32013</v>
      </c>
      <c r="M43">
        <v>32177</v>
      </c>
    </row>
    <row r="44" spans="1:13">
      <c r="A44" s="42" t="s">
        <v>7</v>
      </c>
      <c r="B44">
        <v>336631</v>
      </c>
      <c r="C44">
        <v>340831</v>
      </c>
      <c r="D44">
        <v>344321</v>
      </c>
      <c r="E44">
        <v>349611</v>
      </c>
      <c r="F44">
        <v>353706</v>
      </c>
      <c r="G44">
        <v>358090</v>
      </c>
      <c r="H44">
        <v>363155</v>
      </c>
      <c r="I44">
        <v>367441</v>
      </c>
      <c r="J44">
        <v>372926</v>
      </c>
      <c r="K44">
        <v>377396</v>
      </c>
      <c r="L44">
        <v>381531</v>
      </c>
      <c r="M44">
        <v>383931</v>
      </c>
    </row>
    <row r="45" spans="1:13">
      <c r="A45" s="42" t="s">
        <v>26</v>
      </c>
      <c r="B45">
        <v>36843</v>
      </c>
      <c r="C45">
        <v>36886</v>
      </c>
      <c r="D45">
        <v>36959</v>
      </c>
      <c r="E45">
        <v>37115</v>
      </c>
      <c r="F45">
        <v>37284</v>
      </c>
      <c r="G45">
        <v>37522</v>
      </c>
      <c r="H45">
        <v>37782</v>
      </c>
      <c r="I45">
        <v>38041</v>
      </c>
      <c r="J45">
        <v>38447</v>
      </c>
      <c r="K45">
        <v>38754</v>
      </c>
      <c r="L45">
        <v>39061</v>
      </c>
      <c r="M45">
        <v>39296</v>
      </c>
    </row>
    <row r="46" spans="1:13">
      <c r="A46" s="42" t="s">
        <v>10</v>
      </c>
      <c r="B46">
        <v>3540466</v>
      </c>
      <c r="C46">
        <v>3578795</v>
      </c>
      <c r="D46">
        <v>3610229</v>
      </c>
      <c r="E46">
        <v>3650256</v>
      </c>
      <c r="F46">
        <v>3681638</v>
      </c>
      <c r="G46">
        <v>3715832</v>
      </c>
      <c r="H46">
        <v>3755976</v>
      </c>
      <c r="I46">
        <v>3792508</v>
      </c>
      <c r="J46">
        <v>3840034</v>
      </c>
      <c r="K46">
        <v>3873456</v>
      </c>
      <c r="L46">
        <v>3905209</v>
      </c>
      <c r="M46">
        <v>3927087</v>
      </c>
    </row>
    <row r="47" spans="1:13">
      <c r="A47" s="42" t="s">
        <v>82</v>
      </c>
      <c r="B47">
        <v>44257</v>
      </c>
      <c r="C47">
        <v>45995</v>
      </c>
      <c r="D47">
        <v>48097</v>
      </c>
      <c r="E47">
        <v>49844</v>
      </c>
      <c r="F47">
        <v>51511</v>
      </c>
      <c r="G47">
        <v>53317</v>
      </c>
      <c r="H47">
        <v>55387</v>
      </c>
      <c r="I47">
        <v>57631</v>
      </c>
      <c r="J47">
        <v>59614</v>
      </c>
      <c r="K47">
        <v>61422</v>
      </c>
      <c r="L47">
        <v>63026</v>
      </c>
      <c r="M47">
        <v>63976</v>
      </c>
    </row>
    <row r="48" spans="1:13">
      <c r="A48" s="42" t="s">
        <v>27</v>
      </c>
      <c r="B48">
        <v>12941</v>
      </c>
      <c r="C48">
        <v>13149</v>
      </c>
      <c r="D48">
        <v>13149</v>
      </c>
      <c r="E48">
        <v>13469</v>
      </c>
      <c r="F48">
        <v>13612</v>
      </c>
      <c r="G48">
        <v>13780</v>
      </c>
      <c r="H48">
        <v>13901</v>
      </c>
      <c r="I48">
        <v>14000</v>
      </c>
      <c r="J48">
        <v>14145</v>
      </c>
      <c r="K48">
        <v>14265</v>
      </c>
      <c r="L48">
        <v>14384</v>
      </c>
      <c r="M48">
        <v>14462</v>
      </c>
    </row>
    <row r="49" spans="1:13">
      <c r="A49" s="42" t="s">
        <v>8</v>
      </c>
      <c r="B49">
        <v>2892753</v>
      </c>
      <c r="C49">
        <v>2935264</v>
      </c>
      <c r="D49">
        <v>2973222</v>
      </c>
      <c r="E49">
        <v>3028967</v>
      </c>
      <c r="F49">
        <v>3078994</v>
      </c>
      <c r="G49">
        <v>3146916</v>
      </c>
      <c r="H49">
        <v>3213908</v>
      </c>
      <c r="I49">
        <v>3283996</v>
      </c>
      <c r="J49">
        <v>3380306</v>
      </c>
      <c r="K49">
        <v>3455705</v>
      </c>
      <c r="L49">
        <v>3516482</v>
      </c>
      <c r="M49">
        <v>3554289</v>
      </c>
    </row>
    <row r="50" spans="1:13">
      <c r="A50" s="42" t="s">
        <v>24</v>
      </c>
      <c r="B50">
        <v>18826</v>
      </c>
      <c r="C50">
        <v>19074</v>
      </c>
      <c r="D50">
        <v>19308</v>
      </c>
      <c r="E50">
        <v>19563</v>
      </c>
      <c r="F50">
        <v>19820</v>
      </c>
      <c r="G50">
        <v>20071</v>
      </c>
      <c r="H50">
        <v>20336</v>
      </c>
      <c r="I50">
        <v>20590</v>
      </c>
      <c r="J50">
        <v>20866</v>
      </c>
      <c r="K50">
        <v>21072</v>
      </c>
      <c r="L50">
        <v>21265</v>
      </c>
      <c r="M50">
        <v>21376</v>
      </c>
    </row>
    <row r="51" spans="1:13">
      <c r="A51" s="42" t="s">
        <v>23</v>
      </c>
      <c r="B51">
        <v>625182</v>
      </c>
      <c r="C51">
        <v>628422</v>
      </c>
      <c r="D51">
        <v>630788</v>
      </c>
      <c r="E51">
        <v>633914</v>
      </c>
      <c r="F51">
        <v>637269</v>
      </c>
      <c r="G51">
        <v>641131</v>
      </c>
      <c r="H51">
        <v>649679</v>
      </c>
      <c r="I51">
        <v>653937</v>
      </c>
      <c r="J51">
        <v>661474</v>
      </c>
      <c r="K51">
        <v>666196</v>
      </c>
      <c r="L51">
        <v>670318</v>
      </c>
      <c r="M51">
        <v>673097</v>
      </c>
    </row>
    <row r="52" spans="1:13">
      <c r="A52" s="42" t="s">
        <v>16</v>
      </c>
      <c r="B52">
        <v>225034</v>
      </c>
      <c r="C52">
        <v>227360</v>
      </c>
      <c r="D52">
        <v>229236</v>
      </c>
      <c r="E52">
        <v>232029</v>
      </c>
      <c r="F52">
        <v>234344</v>
      </c>
      <c r="G52">
        <v>236833</v>
      </c>
      <c r="H52">
        <v>239769</v>
      </c>
      <c r="I52">
        <v>242333</v>
      </c>
      <c r="J52">
        <v>246875</v>
      </c>
      <c r="K52">
        <v>251546</v>
      </c>
      <c r="L52">
        <v>255554</v>
      </c>
      <c r="M52">
        <v>258283</v>
      </c>
    </row>
    <row r="53" spans="1:13">
      <c r="A53" s="42" t="s">
        <v>29</v>
      </c>
      <c r="B53">
        <v>13128</v>
      </c>
      <c r="C53">
        <v>13235</v>
      </c>
      <c r="D53">
        <v>13291</v>
      </c>
      <c r="E53">
        <v>13497</v>
      </c>
      <c r="F53">
        <v>13797</v>
      </c>
      <c r="G53">
        <v>14067</v>
      </c>
      <c r="H53">
        <v>14548</v>
      </c>
      <c r="I53">
        <v>14838</v>
      </c>
      <c r="J53">
        <v>15500</v>
      </c>
      <c r="K53">
        <v>16222</v>
      </c>
      <c r="L53">
        <v>16715</v>
      </c>
      <c r="M53">
        <v>17042</v>
      </c>
    </row>
    <row r="54" spans="1:13">
      <c r="A54" s="42" t="s">
        <v>31</v>
      </c>
      <c r="B54">
        <v>6831</v>
      </c>
      <c r="C54">
        <v>6930</v>
      </c>
      <c r="D54">
        <v>7065</v>
      </c>
      <c r="E54">
        <v>7268</v>
      </c>
      <c r="F54">
        <v>7397</v>
      </c>
      <c r="G54">
        <v>7527</v>
      </c>
      <c r="H54">
        <v>7677</v>
      </c>
      <c r="I54">
        <v>7817</v>
      </c>
      <c r="J54">
        <v>7982</v>
      </c>
      <c r="K54">
        <v>8249</v>
      </c>
      <c r="L54">
        <v>8553</v>
      </c>
      <c r="M54">
        <v>8767</v>
      </c>
    </row>
    <row r="55" spans="1:13">
      <c r="A55" s="42" t="s">
        <v>32</v>
      </c>
      <c r="B55">
        <v>6626</v>
      </c>
      <c r="C55">
        <v>6856</v>
      </c>
      <c r="D55">
        <v>7021</v>
      </c>
      <c r="E55">
        <v>7200</v>
      </c>
      <c r="F55">
        <v>7388</v>
      </c>
      <c r="G55">
        <v>7670</v>
      </c>
      <c r="H55">
        <v>8036</v>
      </c>
      <c r="I55">
        <v>8331</v>
      </c>
      <c r="J55">
        <v>8572</v>
      </c>
      <c r="K55">
        <v>8802</v>
      </c>
      <c r="L55">
        <v>9025</v>
      </c>
      <c r="M55">
        <v>9185</v>
      </c>
    </row>
    <row r="56" spans="1:13">
      <c r="A56" s="42" t="s">
        <v>30</v>
      </c>
      <c r="B56">
        <v>0</v>
      </c>
      <c r="C56">
        <v>0</v>
      </c>
      <c r="D56">
        <v>10745</v>
      </c>
      <c r="E56">
        <v>10896</v>
      </c>
      <c r="F56">
        <v>11008</v>
      </c>
      <c r="G56">
        <v>11142</v>
      </c>
      <c r="H56">
        <v>11312</v>
      </c>
      <c r="I56">
        <v>11457</v>
      </c>
      <c r="J56">
        <v>11635</v>
      </c>
      <c r="K56">
        <v>11814</v>
      </c>
      <c r="L56">
        <v>11982</v>
      </c>
      <c r="M56">
        <v>12099</v>
      </c>
    </row>
    <row r="57" spans="1:13">
      <c r="A57" s="42" t="s">
        <v>33</v>
      </c>
      <c r="B57">
        <v>0</v>
      </c>
      <c r="C57">
        <v>0</v>
      </c>
      <c r="D57">
        <v>0</v>
      </c>
      <c r="E57">
        <v>0</v>
      </c>
      <c r="F57">
        <v>0</v>
      </c>
      <c r="G57">
        <v>0</v>
      </c>
      <c r="H57">
        <v>0</v>
      </c>
      <c r="K57">
        <v>0</v>
      </c>
    </row>
    <row r="58" spans="1:13">
      <c r="A58" s="42" t="s">
        <v>37</v>
      </c>
      <c r="B58">
        <v>2958</v>
      </c>
      <c r="C58">
        <v>0</v>
      </c>
      <c r="D58">
        <v>0</v>
      </c>
      <c r="E58">
        <v>0</v>
      </c>
    </row>
    <row r="59" spans="1:13">
      <c r="A59" s="42" t="s">
        <v>88</v>
      </c>
      <c r="E59">
        <v>929</v>
      </c>
    </row>
    <row r="60" spans="1:13">
      <c r="A60" s="42" t="s">
        <v>36</v>
      </c>
      <c r="B60">
        <v>929</v>
      </c>
      <c r="C60">
        <v>924</v>
      </c>
      <c r="D60">
        <v>923</v>
      </c>
    </row>
    <row r="61" spans="1:13">
      <c r="A61" s="42" t="s">
        <v>17</v>
      </c>
      <c r="B61">
        <v>0</v>
      </c>
      <c r="C61">
        <v>121134</v>
      </c>
      <c r="D61">
        <v>121155</v>
      </c>
      <c r="E61">
        <v>121263</v>
      </c>
    </row>
    <row r="62" spans="1:13">
      <c r="A62" s="42" t="s">
        <v>35</v>
      </c>
      <c r="B62">
        <v>5129</v>
      </c>
      <c r="C62">
        <v>5121</v>
      </c>
      <c r="D62">
        <v>5121</v>
      </c>
      <c r="E62">
        <v>5115</v>
      </c>
    </row>
    <row r="63" spans="1:13">
      <c r="A63" s="42" t="s">
        <v>34</v>
      </c>
      <c r="B63">
        <v>12054</v>
      </c>
      <c r="C63">
        <v>12049</v>
      </c>
      <c r="D63">
        <v>12052</v>
      </c>
      <c r="E63">
        <v>12051</v>
      </c>
    </row>
    <row r="64" spans="1:13">
      <c r="A64" s="42" t="s">
        <v>86</v>
      </c>
      <c r="F64">
        <v>75749</v>
      </c>
      <c r="G64">
        <v>78329</v>
      </c>
      <c r="H64">
        <v>81435</v>
      </c>
      <c r="I64">
        <v>84175</v>
      </c>
      <c r="J64">
        <v>87644</v>
      </c>
      <c r="K64">
        <v>90184</v>
      </c>
      <c r="L64">
        <v>92433</v>
      </c>
      <c r="M64">
        <v>93878</v>
      </c>
    </row>
    <row r="65" spans="1:13">
      <c r="A65" s="42" t="s">
        <v>93</v>
      </c>
      <c r="F65">
        <v>8399</v>
      </c>
      <c r="G65">
        <v>8565</v>
      </c>
      <c r="H65">
        <v>8858</v>
      </c>
      <c r="I65">
        <v>9046</v>
      </c>
      <c r="J65">
        <v>9248</v>
      </c>
      <c r="K65">
        <v>9386</v>
      </c>
      <c r="L65">
        <v>9475</v>
      </c>
      <c r="M65">
        <v>9584</v>
      </c>
    </row>
    <row r="66" spans="1:13">
      <c r="A66" s="42" t="s">
        <v>95</v>
      </c>
      <c r="F66">
        <v>9725</v>
      </c>
      <c r="G66">
        <v>9850</v>
      </c>
      <c r="H66">
        <v>10046</v>
      </c>
      <c r="I66">
        <v>10250</v>
      </c>
      <c r="J66">
        <v>10427</v>
      </c>
      <c r="K66">
        <v>10557</v>
      </c>
      <c r="L66">
        <v>10677</v>
      </c>
      <c r="M66">
        <v>10787</v>
      </c>
    </row>
    <row r="67" spans="1:13">
      <c r="A67" s="42" t="s">
        <v>92</v>
      </c>
      <c r="F67">
        <v>5600</v>
      </c>
      <c r="G67">
        <v>5840</v>
      </c>
      <c r="H67">
        <v>6112</v>
      </c>
      <c r="I67">
        <v>6431</v>
      </c>
      <c r="J67">
        <v>6986</v>
      </c>
      <c r="K67">
        <v>7513</v>
      </c>
      <c r="L67">
        <v>8125</v>
      </c>
      <c r="M67">
        <v>8391</v>
      </c>
    </row>
    <row r="68" spans="1:13">
      <c r="A68" s="42" t="s">
        <v>94</v>
      </c>
      <c r="F68">
        <v>7635</v>
      </c>
      <c r="G68">
        <v>7853</v>
      </c>
      <c r="H68">
        <v>8205</v>
      </c>
      <c r="I68">
        <v>8545</v>
      </c>
      <c r="J68">
        <v>8942</v>
      </c>
      <c r="K68">
        <v>9191</v>
      </c>
      <c r="L68">
        <v>9493</v>
      </c>
      <c r="M68">
        <v>9682</v>
      </c>
    </row>
    <row r="69" spans="1:13">
      <c r="A69" s="42" t="s">
        <v>73</v>
      </c>
      <c r="B69">
        <v>743</v>
      </c>
      <c r="C69">
        <v>0</v>
      </c>
      <c r="D69">
        <v>0</v>
      </c>
      <c r="E69">
        <v>0</v>
      </c>
      <c r="F69">
        <v>871</v>
      </c>
      <c r="G69">
        <v>894</v>
      </c>
      <c r="H69">
        <v>913</v>
      </c>
      <c r="I69">
        <v>926</v>
      </c>
      <c r="J69">
        <v>945</v>
      </c>
      <c r="K69">
        <v>961</v>
      </c>
      <c r="L69">
        <v>987</v>
      </c>
      <c r="M69">
        <v>996</v>
      </c>
    </row>
    <row r="70" spans="1:13">
      <c r="A70" s="42" t="s">
        <v>38</v>
      </c>
      <c r="B70">
        <v>4625</v>
      </c>
      <c r="C70">
        <v>0</v>
      </c>
      <c r="D70">
        <v>4838</v>
      </c>
      <c r="E70">
        <v>4970</v>
      </c>
      <c r="F70">
        <v>5065</v>
      </c>
      <c r="G70">
        <v>5178</v>
      </c>
      <c r="H70">
        <v>5279</v>
      </c>
      <c r="I70">
        <v>5381</v>
      </c>
      <c r="J70">
        <v>5522</v>
      </c>
      <c r="K70">
        <v>5619</v>
      </c>
      <c r="L70">
        <v>5750</v>
      </c>
      <c r="M70">
        <v>5832</v>
      </c>
    </row>
    <row r="71" spans="1:13">
      <c r="A71" s="42" t="s">
        <v>19</v>
      </c>
      <c r="B71">
        <v>346569</v>
      </c>
      <c r="C71">
        <v>351513</v>
      </c>
      <c r="D71">
        <v>355664</v>
      </c>
      <c r="E71">
        <v>361786</v>
      </c>
      <c r="F71">
        <v>366572</v>
      </c>
      <c r="G71">
        <v>371278</v>
      </c>
      <c r="H71">
        <v>376412</v>
      </c>
      <c r="I71">
        <v>381010</v>
      </c>
      <c r="J71">
        <v>386709</v>
      </c>
      <c r="K71">
        <v>391902</v>
      </c>
      <c r="L71">
        <v>397841</v>
      </c>
      <c r="M71">
        <v>402080</v>
      </c>
    </row>
    <row r="72" spans="1:13">
      <c r="A72" s="42" t="s">
        <v>41</v>
      </c>
      <c r="B72">
        <v>9236</v>
      </c>
      <c r="C72">
        <v>0</v>
      </c>
      <c r="D72">
        <v>0</v>
      </c>
      <c r="E72">
        <v>0</v>
      </c>
      <c r="F72">
        <v>10995</v>
      </c>
      <c r="G72">
        <v>11364</v>
      </c>
      <c r="H72">
        <v>11921</v>
      </c>
      <c r="I72">
        <v>12335</v>
      </c>
      <c r="J72">
        <v>12810</v>
      </c>
      <c r="K72">
        <v>13225</v>
      </c>
      <c r="L72">
        <v>13613</v>
      </c>
      <c r="M72">
        <v>13890</v>
      </c>
    </row>
    <row r="73" spans="1:13">
      <c r="A73" s="42" t="s">
        <v>39</v>
      </c>
      <c r="B73">
        <v>7471</v>
      </c>
      <c r="C73">
        <v>0</v>
      </c>
      <c r="D73">
        <v>7755</v>
      </c>
      <c r="E73">
        <v>7906</v>
      </c>
      <c r="F73">
        <v>8050</v>
      </c>
      <c r="G73">
        <v>8198</v>
      </c>
      <c r="H73">
        <v>8388</v>
      </c>
      <c r="I73">
        <v>381010</v>
      </c>
      <c r="J73">
        <v>386709</v>
      </c>
      <c r="K73">
        <v>391902</v>
      </c>
      <c r="L73">
        <v>397841</v>
      </c>
      <c r="M73">
        <v>402080</v>
      </c>
    </row>
    <row r="74" spans="1:13">
      <c r="A74" s="42" t="s">
        <v>40</v>
      </c>
      <c r="B74">
        <v>3345</v>
      </c>
      <c r="C74">
        <v>0</v>
      </c>
      <c r="D74">
        <v>0</v>
      </c>
      <c r="E74">
        <v>0</v>
      </c>
      <c r="F74">
        <v>4023</v>
      </c>
      <c r="G74">
        <v>4179</v>
      </c>
      <c r="H74">
        <v>4379</v>
      </c>
      <c r="I74">
        <v>4517</v>
      </c>
      <c r="J74">
        <v>4681</v>
      </c>
      <c r="K74">
        <v>4864</v>
      </c>
      <c r="L74">
        <v>5081</v>
      </c>
      <c r="M74">
        <v>5204</v>
      </c>
    </row>
    <row r="75" spans="1:13">
      <c r="A75" s="42" t="s">
        <v>13</v>
      </c>
      <c r="B75">
        <v>1734700</v>
      </c>
      <c r="C75">
        <v>1759138</v>
      </c>
      <c r="D75">
        <v>1780718</v>
      </c>
      <c r="E75">
        <v>1811086</v>
      </c>
      <c r="F75">
        <v>1834606</v>
      </c>
      <c r="G75">
        <v>1863267</v>
      </c>
      <c r="H75">
        <v>1896628</v>
      </c>
      <c r="I75">
        <v>1926731</v>
      </c>
      <c r="J75">
        <v>1968203</v>
      </c>
      <c r="K75">
        <v>1999645</v>
      </c>
      <c r="L75">
        <v>2028070</v>
      </c>
      <c r="M75">
        <v>2047987</v>
      </c>
    </row>
    <row r="76" spans="1:13">
      <c r="A76" s="42" t="s">
        <v>81</v>
      </c>
      <c r="B76">
        <v>94341</v>
      </c>
      <c r="C76">
        <v>95545</v>
      </c>
      <c r="D76">
        <v>96869</v>
      </c>
      <c r="E76">
        <v>99234</v>
      </c>
      <c r="F76">
        <v>100946</v>
      </c>
      <c r="G76">
        <v>102996</v>
      </c>
      <c r="H76">
        <v>104988</v>
      </c>
      <c r="I76">
        <v>106361</v>
      </c>
      <c r="J76">
        <v>108180</v>
      </c>
      <c r="K76">
        <v>110090</v>
      </c>
      <c r="L76">
        <v>112150</v>
      </c>
      <c r="M76">
        <v>113726</v>
      </c>
    </row>
    <row r="77" spans="1:13">
      <c r="A77" s="42" t="s">
        <v>28</v>
      </c>
      <c r="B77">
        <v>0</v>
      </c>
      <c r="C77">
        <v>0</v>
      </c>
      <c r="D77">
        <v>0</v>
      </c>
      <c r="E77">
        <v>0</v>
      </c>
      <c r="F77">
        <v>0</v>
      </c>
      <c r="G77">
        <v>0</v>
      </c>
      <c r="H77">
        <v>0</v>
      </c>
      <c r="K77">
        <v>0</v>
      </c>
    </row>
    <row r="78" spans="1:13">
      <c r="A78" s="13" t="s">
        <v>42</v>
      </c>
      <c r="B78">
        <v>4747521</v>
      </c>
      <c r="C78">
        <v>4823426</v>
      </c>
      <c r="D78">
        <v>4870457</v>
      </c>
      <c r="E78">
        <v>4931285</v>
      </c>
      <c r="F78">
        <v>4940224</v>
      </c>
      <c r="G78">
        <v>4945374</v>
      </c>
      <c r="H78">
        <v>4967059</v>
      </c>
      <c r="I78">
        <v>5035451</v>
      </c>
      <c r="J78">
        <v>5050923</v>
      </c>
      <c r="K78">
        <v>5127573</v>
      </c>
      <c r="L78">
        <v>5108637</v>
      </c>
      <c r="M78">
        <v>5107219</v>
      </c>
    </row>
    <row r="79" spans="1:13">
      <c r="A79" s="42" t="s">
        <v>63</v>
      </c>
      <c r="B79">
        <v>972</v>
      </c>
      <c r="C79">
        <v>979</v>
      </c>
      <c r="D79">
        <v>977</v>
      </c>
      <c r="E79">
        <v>983</v>
      </c>
      <c r="F79">
        <v>986</v>
      </c>
      <c r="G79">
        <v>988</v>
      </c>
      <c r="H79">
        <v>998</v>
      </c>
      <c r="I79">
        <v>1001</v>
      </c>
      <c r="J79">
        <v>1004</v>
      </c>
      <c r="K79">
        <v>1006</v>
      </c>
      <c r="L79">
        <v>989</v>
      </c>
      <c r="M79">
        <v>988</v>
      </c>
    </row>
    <row r="80" spans="1:13">
      <c r="A80" s="42" t="s">
        <v>46</v>
      </c>
      <c r="B80">
        <v>115900</v>
      </c>
      <c r="C80">
        <v>116100</v>
      </c>
      <c r="D80">
        <v>116400</v>
      </c>
      <c r="E80">
        <v>116400</v>
      </c>
      <c r="F80">
        <v>116600</v>
      </c>
      <c r="G80">
        <v>117000</v>
      </c>
      <c r="H80">
        <v>117511</v>
      </c>
      <c r="I80">
        <v>117742</v>
      </c>
      <c r="J80">
        <v>117960</v>
      </c>
      <c r="K80">
        <v>118097</v>
      </c>
      <c r="L80">
        <v>117328</v>
      </c>
      <c r="M80">
        <v>117115</v>
      </c>
    </row>
    <row r="81" spans="1:13">
      <c r="A81" s="42" t="s">
        <v>52</v>
      </c>
      <c r="B81">
        <v>38000</v>
      </c>
      <c r="C81">
        <v>38000</v>
      </c>
      <c r="D81">
        <v>38300</v>
      </c>
      <c r="E81">
        <v>38400</v>
      </c>
      <c r="F81">
        <v>38600</v>
      </c>
      <c r="G81">
        <v>38700</v>
      </c>
      <c r="H81">
        <v>39021</v>
      </c>
      <c r="I81">
        <v>39297</v>
      </c>
      <c r="J81">
        <v>39490</v>
      </c>
      <c r="K81">
        <v>39578</v>
      </c>
      <c r="L81">
        <v>39348</v>
      </c>
      <c r="M81">
        <v>39380</v>
      </c>
    </row>
    <row r="82" spans="1:13">
      <c r="A82" s="42" t="s">
        <v>61</v>
      </c>
      <c r="B82">
        <v>12500</v>
      </c>
      <c r="C82">
        <v>12500</v>
      </c>
    </row>
    <row r="83" spans="1:13">
      <c r="A83" s="42" t="s">
        <v>62</v>
      </c>
      <c r="B83">
        <v>12700</v>
      </c>
      <c r="C83">
        <v>12700</v>
      </c>
      <c r="D83">
        <v>12700</v>
      </c>
      <c r="E83">
        <v>12800</v>
      </c>
      <c r="F83">
        <v>12800</v>
      </c>
      <c r="G83">
        <v>12900</v>
      </c>
      <c r="H83">
        <v>12995</v>
      </c>
      <c r="I83">
        <v>13040</v>
      </c>
      <c r="J83">
        <v>13070</v>
      </c>
      <c r="K83">
        <v>13083</v>
      </c>
      <c r="L83">
        <v>12969</v>
      </c>
      <c r="M83">
        <v>12993</v>
      </c>
    </row>
    <row r="84" spans="1:13">
      <c r="A84" s="42" t="s">
        <v>54</v>
      </c>
      <c r="B84">
        <v>69100</v>
      </c>
      <c r="C84">
        <v>69200</v>
      </c>
      <c r="D84">
        <v>69300</v>
      </c>
      <c r="E84">
        <v>69400</v>
      </c>
      <c r="F84">
        <v>69400</v>
      </c>
      <c r="G84">
        <v>69400</v>
      </c>
      <c r="H84">
        <v>69718</v>
      </c>
      <c r="I84">
        <v>69811</v>
      </c>
      <c r="J84">
        <v>69828</v>
      </c>
      <c r="K84">
        <v>70012</v>
      </c>
      <c r="L84">
        <v>69505</v>
      </c>
      <c r="M84">
        <v>69443</v>
      </c>
    </row>
    <row r="85" spans="1:13">
      <c r="A85" s="42" t="s">
        <v>2</v>
      </c>
      <c r="B85">
        <v>715900</v>
      </c>
      <c r="C85">
        <v>747500</v>
      </c>
      <c r="D85">
        <v>779400</v>
      </c>
      <c r="E85">
        <v>802700</v>
      </c>
      <c r="F85">
        <v>804800</v>
      </c>
      <c r="G85">
        <v>805100</v>
      </c>
      <c r="H85">
        <v>817603</v>
      </c>
      <c r="I85">
        <v>876956</v>
      </c>
      <c r="J85">
        <v>887160</v>
      </c>
      <c r="K85">
        <v>954255</v>
      </c>
      <c r="L85">
        <v>947958</v>
      </c>
      <c r="M85">
        <v>946352</v>
      </c>
    </row>
    <row r="86" spans="1:13">
      <c r="A86" s="42" t="s">
        <v>44</v>
      </c>
      <c r="B86">
        <v>135200</v>
      </c>
      <c r="C86">
        <v>135600</v>
      </c>
      <c r="D86">
        <v>135800</v>
      </c>
      <c r="E86">
        <v>135900</v>
      </c>
      <c r="F86">
        <v>136100</v>
      </c>
      <c r="G86">
        <v>136300</v>
      </c>
      <c r="H86">
        <v>136520</v>
      </c>
      <c r="I86">
        <v>136769</v>
      </c>
      <c r="J86">
        <v>137005</v>
      </c>
      <c r="K86">
        <v>137262</v>
      </c>
      <c r="L86">
        <v>137346</v>
      </c>
      <c r="M86">
        <v>138005</v>
      </c>
    </row>
    <row r="87" spans="1:13">
      <c r="A87" s="42" t="s">
        <v>83</v>
      </c>
      <c r="B87">
        <v>128200</v>
      </c>
      <c r="C87">
        <v>129100</v>
      </c>
      <c r="D87">
        <v>130000</v>
      </c>
      <c r="E87">
        <v>130600</v>
      </c>
      <c r="F87">
        <v>131000</v>
      </c>
      <c r="G87">
        <v>131300</v>
      </c>
      <c r="H87">
        <v>131824</v>
      </c>
      <c r="I87">
        <v>132492</v>
      </c>
      <c r="J87">
        <v>133001</v>
      </c>
      <c r="K87">
        <v>133569</v>
      </c>
      <c r="L87">
        <v>132837</v>
      </c>
      <c r="M87">
        <v>132979</v>
      </c>
    </row>
    <row r="88" spans="1:13">
      <c r="A88" s="42" t="s">
        <v>43</v>
      </c>
      <c r="B88">
        <v>467600</v>
      </c>
      <c r="C88">
        <v>501500</v>
      </c>
      <c r="D88">
        <v>534600</v>
      </c>
      <c r="E88">
        <v>564600</v>
      </c>
      <c r="F88">
        <v>564700</v>
      </c>
      <c r="G88">
        <v>564000</v>
      </c>
      <c r="H88">
        <v>563770</v>
      </c>
      <c r="I88">
        <v>564801</v>
      </c>
      <c r="J88">
        <v>564619</v>
      </c>
      <c r="K88">
        <v>565953</v>
      </c>
      <c r="L88">
        <v>563380</v>
      </c>
      <c r="M88">
        <v>563096</v>
      </c>
    </row>
    <row r="89" spans="1:13">
      <c r="A89" s="42" t="s">
        <v>80</v>
      </c>
      <c r="B89">
        <v>17100</v>
      </c>
      <c r="C89">
        <v>17200</v>
      </c>
      <c r="D89">
        <v>17400</v>
      </c>
      <c r="E89">
        <v>17500</v>
      </c>
      <c r="F89">
        <v>17500</v>
      </c>
      <c r="G89">
        <v>17600</v>
      </c>
      <c r="H89">
        <v>17718</v>
      </c>
      <c r="I89">
        <v>17846</v>
      </c>
      <c r="J89">
        <v>17924</v>
      </c>
      <c r="K89">
        <v>17997</v>
      </c>
      <c r="L89">
        <v>17934</v>
      </c>
      <c r="M89">
        <v>17955</v>
      </c>
    </row>
    <row r="90" spans="1:13">
      <c r="A90" s="42" t="s">
        <v>45</v>
      </c>
      <c r="B90">
        <v>158300</v>
      </c>
      <c r="C90">
        <v>158100</v>
      </c>
      <c r="D90">
        <v>158000</v>
      </c>
      <c r="E90">
        <v>157700</v>
      </c>
      <c r="F90">
        <v>157500</v>
      </c>
      <c r="G90">
        <v>157300</v>
      </c>
      <c r="H90">
        <v>157249</v>
      </c>
      <c r="I90">
        <v>157122</v>
      </c>
      <c r="J90">
        <v>156838</v>
      </c>
      <c r="K90">
        <v>156664</v>
      </c>
      <c r="L90">
        <v>155585</v>
      </c>
      <c r="M90">
        <v>155328</v>
      </c>
    </row>
    <row r="91" spans="1:13">
      <c r="A91" s="42" t="s">
        <v>3</v>
      </c>
      <c r="B91">
        <v>202700</v>
      </c>
      <c r="C91">
        <v>203400</v>
      </c>
      <c r="D91">
        <v>204000</v>
      </c>
      <c r="E91">
        <v>204400</v>
      </c>
      <c r="F91">
        <v>204800</v>
      </c>
      <c r="G91">
        <v>205500</v>
      </c>
      <c r="H91">
        <v>206162</v>
      </c>
      <c r="I91">
        <v>206636</v>
      </c>
      <c r="J91">
        <v>207777</v>
      </c>
      <c r="K91">
        <v>209144</v>
      </c>
      <c r="L91">
        <v>214638</v>
      </c>
      <c r="M91">
        <v>214923</v>
      </c>
    </row>
    <row r="92" spans="1:13">
      <c r="A92" s="42" t="s">
        <v>4</v>
      </c>
      <c r="B92">
        <v>47900</v>
      </c>
      <c r="C92">
        <v>47800</v>
      </c>
      <c r="D92">
        <v>47800</v>
      </c>
      <c r="E92">
        <v>47700</v>
      </c>
      <c r="F92">
        <v>47600</v>
      </c>
      <c r="G92">
        <v>47600</v>
      </c>
      <c r="H92">
        <v>47663</v>
      </c>
      <c r="I92">
        <v>47685</v>
      </c>
      <c r="J92">
        <v>47597</v>
      </c>
      <c r="K92">
        <v>47569</v>
      </c>
      <c r="L92">
        <v>47029</v>
      </c>
      <c r="M92">
        <v>46925</v>
      </c>
    </row>
    <row r="93" spans="1:13">
      <c r="A93" s="42" t="s">
        <v>5</v>
      </c>
      <c r="B93">
        <v>3342</v>
      </c>
      <c r="C93">
        <v>3345</v>
      </c>
      <c r="D93">
        <v>3353</v>
      </c>
      <c r="E93">
        <v>3362</v>
      </c>
      <c r="F93">
        <v>3367</v>
      </c>
      <c r="G93">
        <v>3379</v>
      </c>
      <c r="H93">
        <v>3407</v>
      </c>
      <c r="I93">
        <v>3413</v>
      </c>
      <c r="J93">
        <v>3421</v>
      </c>
      <c r="K93">
        <v>3429</v>
      </c>
      <c r="L93">
        <v>3382</v>
      </c>
      <c r="M93">
        <v>3377</v>
      </c>
    </row>
    <row r="94" spans="1:13">
      <c r="A94" s="42" t="s">
        <v>48</v>
      </c>
      <c r="B94">
        <v>6995</v>
      </c>
      <c r="C94">
        <v>6991</v>
      </c>
      <c r="D94">
        <v>6997</v>
      </c>
      <c r="E94">
        <v>6982</v>
      </c>
      <c r="F94">
        <v>6962</v>
      </c>
      <c r="G94">
        <v>6961</v>
      </c>
      <c r="H94">
        <v>6958</v>
      </c>
      <c r="I94">
        <v>6955</v>
      </c>
      <c r="J94">
        <v>6948</v>
      </c>
      <c r="K94">
        <v>6953</v>
      </c>
      <c r="L94">
        <v>6879</v>
      </c>
      <c r="M94">
        <v>6862</v>
      </c>
    </row>
    <row r="95" spans="1:13">
      <c r="A95" s="42" t="s">
        <v>47</v>
      </c>
      <c r="B95">
        <v>6912</v>
      </c>
      <c r="C95">
        <v>6911</v>
      </c>
      <c r="D95">
        <v>6915</v>
      </c>
      <c r="E95">
        <v>6958</v>
      </c>
      <c r="F95">
        <v>7009</v>
      </c>
      <c r="G95">
        <v>7046</v>
      </c>
      <c r="H95">
        <v>7082</v>
      </c>
      <c r="I95">
        <v>7098</v>
      </c>
      <c r="J95">
        <v>7157</v>
      </c>
      <c r="K95">
        <v>7164</v>
      </c>
      <c r="L95">
        <v>7076</v>
      </c>
      <c r="M95">
        <v>7060</v>
      </c>
    </row>
    <row r="96" spans="1:13">
      <c r="A96" s="42" t="s">
        <v>49</v>
      </c>
      <c r="B96">
        <v>39500</v>
      </c>
      <c r="C96">
        <v>39500</v>
      </c>
      <c r="D96">
        <v>39500</v>
      </c>
      <c r="E96">
        <v>39400</v>
      </c>
      <c r="F96">
        <v>39400</v>
      </c>
      <c r="G96">
        <v>39300</v>
      </c>
      <c r="H96">
        <v>39336</v>
      </c>
      <c r="I96">
        <v>39295</v>
      </c>
      <c r="J96">
        <v>39231</v>
      </c>
      <c r="K96">
        <v>39205</v>
      </c>
      <c r="L96">
        <v>38967</v>
      </c>
      <c r="M96">
        <v>38914</v>
      </c>
    </row>
    <row r="97" spans="1:13">
      <c r="A97" s="42" t="s">
        <v>7</v>
      </c>
      <c r="B97">
        <v>391800</v>
      </c>
      <c r="C97">
        <v>393100</v>
      </c>
      <c r="D97">
        <v>394300</v>
      </c>
      <c r="E97">
        <v>394900</v>
      </c>
      <c r="F97">
        <v>395900</v>
      </c>
      <c r="G97">
        <v>396900</v>
      </c>
      <c r="H97">
        <v>397944</v>
      </c>
      <c r="I97">
        <v>399029</v>
      </c>
      <c r="J97">
        <v>399912</v>
      </c>
      <c r="K97">
        <v>401347</v>
      </c>
      <c r="L97">
        <v>398056</v>
      </c>
      <c r="M97">
        <v>397915</v>
      </c>
    </row>
    <row r="98" spans="1:13">
      <c r="A98" s="42" t="s">
        <v>50</v>
      </c>
      <c r="B98">
        <v>184800</v>
      </c>
      <c r="C98">
        <v>184600</v>
      </c>
      <c r="D98">
        <v>184500</v>
      </c>
      <c r="E98">
        <v>184200</v>
      </c>
      <c r="F98">
        <v>183900</v>
      </c>
      <c r="G98">
        <v>183700</v>
      </c>
      <c r="H98">
        <v>183590</v>
      </c>
      <c r="I98">
        <v>183438</v>
      </c>
      <c r="J98">
        <v>183185</v>
      </c>
      <c r="K98">
        <v>182984</v>
      </c>
      <c r="L98">
        <v>181827</v>
      </c>
      <c r="M98">
        <v>181526</v>
      </c>
    </row>
    <row r="99" spans="1:13">
      <c r="A99" s="42" t="s">
        <v>51</v>
      </c>
      <c r="B99">
        <v>141100</v>
      </c>
      <c r="C99">
        <v>141700</v>
      </c>
      <c r="D99">
        <v>142300</v>
      </c>
      <c r="E99">
        <v>142900</v>
      </c>
      <c r="F99">
        <v>143600</v>
      </c>
      <c r="G99">
        <v>144200</v>
      </c>
      <c r="H99">
        <v>145126</v>
      </c>
      <c r="I99">
        <v>145723</v>
      </c>
      <c r="J99">
        <v>146281</v>
      </c>
      <c r="K99">
        <v>146675</v>
      </c>
      <c r="L99">
        <v>145224</v>
      </c>
      <c r="M99">
        <v>145220</v>
      </c>
    </row>
    <row r="100" spans="1:13">
      <c r="A100" s="42" t="s">
        <v>10</v>
      </c>
      <c r="B100">
        <v>909400</v>
      </c>
      <c r="C100">
        <v>910700</v>
      </c>
      <c r="D100">
        <v>911800</v>
      </c>
      <c r="E100">
        <v>913000</v>
      </c>
      <c r="F100">
        <v>914200</v>
      </c>
      <c r="G100">
        <v>914700</v>
      </c>
      <c r="H100">
        <v>915162</v>
      </c>
      <c r="I100">
        <v>915977</v>
      </c>
      <c r="J100">
        <v>915808</v>
      </c>
      <c r="K100">
        <v>916288</v>
      </c>
      <c r="L100">
        <v>914201</v>
      </c>
      <c r="M100">
        <v>913985</v>
      </c>
    </row>
    <row r="101" spans="1:13">
      <c r="A101" s="42" t="s">
        <v>53</v>
      </c>
      <c r="B101">
        <v>411900</v>
      </c>
      <c r="C101">
        <v>413500</v>
      </c>
      <c r="D101">
        <v>414900</v>
      </c>
      <c r="E101">
        <v>416000</v>
      </c>
      <c r="F101">
        <v>417000</v>
      </c>
      <c r="G101">
        <v>417600</v>
      </c>
      <c r="H101">
        <v>418263</v>
      </c>
      <c r="I101">
        <v>419057</v>
      </c>
      <c r="J101">
        <v>419629</v>
      </c>
      <c r="K101">
        <v>421083</v>
      </c>
      <c r="L101">
        <v>420484</v>
      </c>
      <c r="M101">
        <v>420762</v>
      </c>
    </row>
    <row r="102" spans="1:13">
      <c r="A102" s="42" t="s">
        <v>58</v>
      </c>
      <c r="B102">
        <v>37500</v>
      </c>
      <c r="C102">
        <v>37700</v>
      </c>
      <c r="D102">
        <v>37900</v>
      </c>
      <c r="E102">
        <v>38000</v>
      </c>
      <c r="F102">
        <v>38200</v>
      </c>
      <c r="G102">
        <v>38300</v>
      </c>
      <c r="H102">
        <v>38535</v>
      </c>
      <c r="I102">
        <v>38760</v>
      </c>
      <c r="J102">
        <v>39085</v>
      </c>
      <c r="K102">
        <v>39326</v>
      </c>
      <c r="L102">
        <v>38989</v>
      </c>
      <c r="M102">
        <v>39061</v>
      </c>
    </row>
    <row r="103" spans="1:13">
      <c r="A103" s="42" t="s">
        <v>59</v>
      </c>
      <c r="B103">
        <v>43500</v>
      </c>
      <c r="C103">
        <v>43900</v>
      </c>
      <c r="D103">
        <v>44300</v>
      </c>
      <c r="E103">
        <v>44500</v>
      </c>
      <c r="F103">
        <v>44800</v>
      </c>
      <c r="G103">
        <v>45000</v>
      </c>
      <c r="H103">
        <v>45438</v>
      </c>
      <c r="I103">
        <v>45679</v>
      </c>
      <c r="J103">
        <v>45837</v>
      </c>
      <c r="K103">
        <v>45962</v>
      </c>
      <c r="L103">
        <v>45714</v>
      </c>
      <c r="M103">
        <v>45983</v>
      </c>
    </row>
    <row r="104" spans="1:13">
      <c r="A104" s="42" t="s">
        <v>60</v>
      </c>
      <c r="B104">
        <v>26300</v>
      </c>
      <c r="C104">
        <v>26300</v>
      </c>
      <c r="D104">
        <v>26400</v>
      </c>
      <c r="E104">
        <v>26400</v>
      </c>
      <c r="F104">
        <v>26400</v>
      </c>
      <c r="G104">
        <v>26500</v>
      </c>
      <c r="H104">
        <v>26517</v>
      </c>
      <c r="I104">
        <v>26526</v>
      </c>
      <c r="J104">
        <v>26535</v>
      </c>
      <c r="K104">
        <v>26543</v>
      </c>
      <c r="L104">
        <v>26284</v>
      </c>
      <c r="M104">
        <v>26257</v>
      </c>
    </row>
    <row r="105" spans="1:13">
      <c r="A105" s="42" t="s">
        <v>17</v>
      </c>
      <c r="B105">
        <v>24300</v>
      </c>
      <c r="C105">
        <v>24300</v>
      </c>
    </row>
    <row r="106" spans="1:13">
      <c r="A106" s="42" t="s">
        <v>86</v>
      </c>
      <c r="D106">
        <v>9715</v>
      </c>
    </row>
    <row r="107" spans="1:13">
      <c r="A107" s="42" t="s">
        <v>89</v>
      </c>
      <c r="E107">
        <v>11200</v>
      </c>
      <c r="F107">
        <v>11600</v>
      </c>
      <c r="G107">
        <v>12000</v>
      </c>
      <c r="H107">
        <v>12426</v>
      </c>
      <c r="I107">
        <v>12938</v>
      </c>
      <c r="J107">
        <v>13274</v>
      </c>
      <c r="K107">
        <v>13474</v>
      </c>
      <c r="L107">
        <v>13406</v>
      </c>
      <c r="M107">
        <v>13549</v>
      </c>
    </row>
    <row r="108" spans="1:13">
      <c r="A108" s="42" t="s">
        <v>18</v>
      </c>
      <c r="B108">
        <v>43700</v>
      </c>
      <c r="C108">
        <v>43900</v>
      </c>
      <c r="D108">
        <v>44100</v>
      </c>
      <c r="E108">
        <v>44200</v>
      </c>
      <c r="F108">
        <v>44400</v>
      </c>
      <c r="G108">
        <v>44500</v>
      </c>
      <c r="H108">
        <v>44821</v>
      </c>
      <c r="I108">
        <v>44977</v>
      </c>
      <c r="J108">
        <v>45075</v>
      </c>
      <c r="K108">
        <v>45106</v>
      </c>
      <c r="L108">
        <v>44714</v>
      </c>
      <c r="M108">
        <v>44676</v>
      </c>
    </row>
    <row r="109" spans="1:13">
      <c r="A109" s="42" t="s">
        <v>13</v>
      </c>
      <c r="B109">
        <v>332500</v>
      </c>
      <c r="C109">
        <v>335400</v>
      </c>
      <c r="D109">
        <v>336900</v>
      </c>
      <c r="E109">
        <v>338400</v>
      </c>
      <c r="F109">
        <v>339300</v>
      </c>
      <c r="G109">
        <v>339800</v>
      </c>
      <c r="H109">
        <v>341805</v>
      </c>
      <c r="I109">
        <v>343367</v>
      </c>
      <c r="J109">
        <v>344245</v>
      </c>
      <c r="K109">
        <v>345838</v>
      </c>
      <c r="L109">
        <v>344754</v>
      </c>
      <c r="M109">
        <v>344787</v>
      </c>
    </row>
    <row r="110" spans="1:13">
      <c r="A110" s="42" t="s">
        <v>57</v>
      </c>
      <c r="B110">
        <v>0</v>
      </c>
      <c r="C110">
        <v>0</v>
      </c>
      <c r="D110">
        <v>0</v>
      </c>
      <c r="E110">
        <v>0</v>
      </c>
      <c r="F110">
        <v>0</v>
      </c>
      <c r="G110">
        <v>0</v>
      </c>
      <c r="H110">
        <v>0</v>
      </c>
      <c r="K110">
        <v>0</v>
      </c>
    </row>
    <row r="111" spans="1:13">
      <c r="A111" s="42" t="s">
        <v>55</v>
      </c>
      <c r="B111">
        <v>0</v>
      </c>
      <c r="C111">
        <v>0</v>
      </c>
      <c r="D111">
        <v>0</v>
      </c>
      <c r="E111">
        <v>0</v>
      </c>
      <c r="F111">
        <v>0</v>
      </c>
      <c r="G111">
        <v>0</v>
      </c>
      <c r="H111">
        <v>0</v>
      </c>
      <c r="K111">
        <v>0</v>
      </c>
    </row>
    <row r="112" spans="1:13">
      <c r="A112" s="42" t="s">
        <v>56</v>
      </c>
      <c r="B112">
        <v>21900</v>
      </c>
      <c r="C112">
        <v>21900</v>
      </c>
      <c r="D112">
        <v>21900</v>
      </c>
      <c r="E112">
        <v>21800</v>
      </c>
      <c r="F112">
        <v>21800</v>
      </c>
      <c r="G112">
        <v>21800</v>
      </c>
      <c r="H112">
        <v>21897</v>
      </c>
      <c r="I112">
        <v>22021</v>
      </c>
      <c r="J112">
        <v>22027</v>
      </c>
      <c r="K112">
        <v>22007</v>
      </c>
      <c r="L112">
        <v>21834</v>
      </c>
      <c r="M112">
        <v>21803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Audience Counts</vt:lpstr>
      <vt:lpstr>Headline Pivots</vt:lpstr>
      <vt:lpstr>Bank Pivots</vt:lpstr>
      <vt:lpstr>SparklinePivot</vt:lpstr>
      <vt:lpstr>Pivot</vt:lpstr>
    </vt:vector>
  </TitlesOfParts>
  <Company>Juice Analytics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Verna, Kimberly</dc:creator>
  <cp:lastModifiedBy>Likhitha</cp:lastModifiedBy>
  <dcterms:created xsi:type="dcterms:W3CDTF">2007-09-06T02:48:24Z</dcterms:created>
  <dcterms:modified xsi:type="dcterms:W3CDTF">2026-02-11T09:38:17Z</dcterms:modified>
</cp:coreProperties>
</file>